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2bcaa156fe291f4/Desktop/CQF/"/>
    </mc:Choice>
  </mc:AlternateContent>
  <xr:revisionPtr revIDLastSave="315" documentId="8_{FA2E756F-DDF3-4DB8-8269-D345AC536FC3}" xr6:coauthVersionLast="47" xr6:coauthVersionMax="47" xr10:uidLastSave="{1685DE07-62C5-4A26-B35C-5B67853D06D6}"/>
  <bookViews>
    <workbookView xWindow="-120" yWindow="-120" windowWidth="29040" windowHeight="15720" activeTab="7" xr2:uid="{BE5BE7C5-A4A9-4D79-8189-246290E07282}"/>
  </bookViews>
  <sheets>
    <sheet name="Overview " sheetId="1" r:id="rId1"/>
    <sheet name="Inputs" sheetId="4" r:id="rId2"/>
    <sheet name="Simulation" sheetId="5" r:id="rId3"/>
    <sheet name="MTM and VM" sheetId="6" r:id="rId4"/>
    <sheet name="Initial Margin" sheetId="7" r:id="rId5"/>
    <sheet name="Default Scenario" sheetId="8" r:id="rId6"/>
    <sheet name="Sensitivity Analysis" sheetId="9" r:id="rId7"/>
    <sheet name="Dashboard"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2" i="10" l="1"/>
  <c r="H11" i="10"/>
  <c r="H10" i="10"/>
  <c r="H9" i="10"/>
  <c r="H8" i="10"/>
  <c r="M11" i="9"/>
  <c r="M12" i="9"/>
  <c r="M13" i="9"/>
  <c r="M10" i="9"/>
  <c r="C25" i="9"/>
  <c r="C26" i="9"/>
  <c r="C27" i="9"/>
  <c r="N13" i="8"/>
  <c r="N12" i="8"/>
  <c r="F19" i="7"/>
  <c r="F17" i="7"/>
  <c r="F18" i="7" s="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3" i="6"/>
  <c r="G3" i="6"/>
  <c r="F5" i="5"/>
  <c r="G5" i="5" s="1"/>
  <c r="F6" i="5"/>
  <c r="G6" i="5" s="1"/>
  <c r="F7" i="5"/>
  <c r="G7" i="5" s="1"/>
  <c r="F8" i="5"/>
  <c r="G8" i="5" s="1"/>
  <c r="F9" i="5"/>
  <c r="G9" i="5" s="1"/>
  <c r="F10" i="5"/>
  <c r="G10" i="5" s="1"/>
  <c r="F11" i="5"/>
  <c r="G11" i="5" s="1"/>
  <c r="F12" i="5"/>
  <c r="G12" i="5" s="1"/>
  <c r="F13" i="5"/>
  <c r="G13" i="5" s="1"/>
  <c r="F14" i="5"/>
  <c r="G14" i="5" s="1"/>
  <c r="F15" i="5"/>
  <c r="G15" i="5" s="1"/>
  <c r="F16" i="5"/>
  <c r="G16" i="5" s="1"/>
  <c r="F17" i="5"/>
  <c r="G17" i="5" s="1"/>
  <c r="F18" i="5"/>
  <c r="G18" i="5" s="1"/>
  <c r="F19" i="5"/>
  <c r="G19" i="5" s="1"/>
  <c r="F20" i="5"/>
  <c r="G20" i="5" s="1"/>
  <c r="F21" i="5"/>
  <c r="G21" i="5" s="1"/>
  <c r="F22" i="5"/>
  <c r="G22" i="5" s="1"/>
  <c r="F23" i="5"/>
  <c r="G23" i="5" s="1"/>
  <c r="F24" i="5"/>
  <c r="G24" i="5" s="1"/>
  <c r="F25" i="5"/>
  <c r="G25" i="5" s="1"/>
  <c r="F26" i="5"/>
  <c r="G26" i="5" s="1"/>
  <c r="F27" i="5"/>
  <c r="G27" i="5" s="1"/>
  <c r="F28" i="5"/>
  <c r="G28" i="5" s="1"/>
  <c r="F29" i="5"/>
  <c r="G29" i="5" s="1"/>
  <c r="F30" i="5"/>
  <c r="G30" i="5" s="1"/>
  <c r="F31" i="5"/>
  <c r="G31" i="5" s="1"/>
  <c r="F32" i="5"/>
  <c r="G32" i="5" s="1"/>
  <c r="F33" i="5"/>
  <c r="G33" i="5" s="1"/>
  <c r="F34" i="5"/>
  <c r="G34" i="5" s="1"/>
  <c r="F35" i="5"/>
  <c r="G35" i="5" s="1"/>
  <c r="F36" i="5"/>
  <c r="G36" i="5" s="1"/>
  <c r="F37" i="5"/>
  <c r="G37" i="5" s="1"/>
  <c r="F38" i="5"/>
  <c r="G38" i="5" s="1"/>
  <c r="F39" i="5"/>
  <c r="G39" i="5" s="1"/>
  <c r="F40" i="5"/>
  <c r="G40" i="5" s="1"/>
  <c r="F41" i="5"/>
  <c r="G41" i="5" s="1"/>
  <c r="F42" i="5"/>
  <c r="G42" i="5" s="1"/>
  <c r="F43" i="5"/>
  <c r="G43" i="5" s="1"/>
  <c r="F44" i="5"/>
  <c r="G44" i="5" s="1"/>
  <c r="F45" i="5"/>
  <c r="G45" i="5" s="1"/>
  <c r="F46" i="5"/>
  <c r="G46" i="5" s="1"/>
  <c r="F47" i="5"/>
  <c r="G47" i="5" s="1"/>
  <c r="F48" i="5"/>
  <c r="G48" i="5" s="1"/>
  <c r="F49" i="5"/>
  <c r="G49" i="5" s="1"/>
  <c r="F50" i="5"/>
  <c r="G50" i="5" s="1"/>
  <c r="F51" i="5"/>
  <c r="G51" i="5" s="1"/>
  <c r="F52" i="5"/>
  <c r="G52" i="5" s="1"/>
  <c r="F53" i="5"/>
  <c r="G53" i="5" s="1"/>
  <c r="F54" i="5"/>
  <c r="G54" i="5" s="1"/>
  <c r="F55" i="5"/>
  <c r="G55" i="5" s="1"/>
  <c r="F56" i="5"/>
  <c r="G56" i="5" s="1"/>
  <c r="F57" i="5"/>
  <c r="G57" i="5" s="1"/>
  <c r="F58" i="5"/>
  <c r="G58" i="5" s="1"/>
  <c r="F59" i="5"/>
  <c r="G59" i="5" s="1"/>
  <c r="F60" i="5"/>
  <c r="G60" i="5" s="1"/>
  <c r="F61" i="5"/>
  <c r="G61" i="5" s="1"/>
  <c r="F62" i="5"/>
  <c r="G62" i="5" s="1"/>
  <c r="F63" i="5"/>
  <c r="G63" i="5" s="1"/>
  <c r="F64" i="5"/>
  <c r="G64" i="5" s="1"/>
  <c r="F65" i="5"/>
  <c r="G65" i="5" s="1"/>
  <c r="F66" i="5"/>
  <c r="G66" i="5" s="1"/>
  <c r="F67" i="5"/>
  <c r="G67" i="5" s="1"/>
  <c r="F68" i="5"/>
  <c r="G68" i="5" s="1"/>
  <c r="F69" i="5"/>
  <c r="G69" i="5" s="1"/>
  <c r="F70" i="5"/>
  <c r="G70" i="5" s="1"/>
  <c r="F71" i="5"/>
  <c r="G71" i="5" s="1"/>
  <c r="F72" i="5"/>
  <c r="G72" i="5" s="1"/>
  <c r="F73" i="5"/>
  <c r="G73" i="5" s="1"/>
  <c r="F74" i="5"/>
  <c r="G74" i="5" s="1"/>
  <c r="F75" i="5"/>
  <c r="G75" i="5" s="1"/>
  <c r="F76" i="5"/>
  <c r="G76" i="5" s="1"/>
  <c r="F77" i="5"/>
  <c r="G77" i="5" s="1"/>
  <c r="F78" i="5"/>
  <c r="G78" i="5" s="1"/>
  <c r="F79" i="5"/>
  <c r="G79" i="5" s="1"/>
  <c r="F80" i="5"/>
  <c r="G80" i="5" s="1"/>
  <c r="F81" i="5"/>
  <c r="G81" i="5" s="1"/>
  <c r="F82" i="5"/>
  <c r="G82" i="5" s="1"/>
  <c r="F83" i="5"/>
  <c r="G83" i="5" s="1"/>
  <c r="F84" i="5"/>
  <c r="G84" i="5" s="1"/>
  <c r="F85" i="5"/>
  <c r="G85" i="5" s="1"/>
  <c r="F86" i="5"/>
  <c r="G86" i="5" s="1"/>
  <c r="F87" i="5"/>
  <c r="G87" i="5" s="1"/>
  <c r="F88" i="5"/>
  <c r="G88" i="5" s="1"/>
  <c r="F89" i="5"/>
  <c r="G89" i="5" s="1"/>
  <c r="F90" i="5"/>
  <c r="G90" i="5" s="1"/>
  <c r="F91" i="5"/>
  <c r="G91" i="5" s="1"/>
  <c r="F92" i="5"/>
  <c r="G92" i="5" s="1"/>
  <c r="F93" i="5"/>
  <c r="G93" i="5" s="1"/>
  <c r="F94" i="5"/>
  <c r="G94" i="5" s="1"/>
  <c r="F95" i="5"/>
  <c r="G95" i="5" s="1"/>
  <c r="F96" i="5"/>
  <c r="G96" i="5" s="1"/>
  <c r="F97" i="5"/>
  <c r="G97" i="5" s="1"/>
  <c r="F98" i="5"/>
  <c r="G98" i="5" s="1"/>
  <c r="F99" i="5"/>
  <c r="G99" i="5" s="1"/>
  <c r="F100" i="5"/>
  <c r="G100" i="5" s="1"/>
  <c r="F101" i="5"/>
  <c r="G101" i="5" s="1"/>
  <c r="F102" i="5"/>
  <c r="G102" i="5" s="1"/>
  <c r="F103" i="5"/>
  <c r="G103" i="5" s="1"/>
  <c r="F104" i="5"/>
  <c r="G104" i="5" s="1"/>
  <c r="F105" i="5"/>
  <c r="G105" i="5" s="1"/>
  <c r="F106" i="5"/>
  <c r="G106" i="5" s="1"/>
  <c r="F107" i="5"/>
  <c r="G107" i="5" s="1"/>
  <c r="F108" i="5"/>
  <c r="G108" i="5" s="1"/>
  <c r="F109" i="5"/>
  <c r="G109" i="5" s="1"/>
  <c r="F110" i="5"/>
  <c r="G110" i="5" s="1"/>
  <c r="F111" i="5"/>
  <c r="G111" i="5" s="1"/>
  <c r="F112" i="5"/>
  <c r="G112" i="5" s="1"/>
  <c r="F113" i="5"/>
  <c r="G113" i="5" s="1"/>
  <c r="F114" i="5"/>
  <c r="G114" i="5" s="1"/>
  <c r="F115" i="5"/>
  <c r="G115" i="5" s="1"/>
  <c r="F116" i="5"/>
  <c r="G116" i="5" s="1"/>
  <c r="F117" i="5"/>
  <c r="G117" i="5" s="1"/>
  <c r="F118" i="5"/>
  <c r="G118" i="5" s="1"/>
  <c r="F119" i="5"/>
  <c r="G119" i="5" s="1"/>
  <c r="F120" i="5"/>
  <c r="G120" i="5" s="1"/>
  <c r="F121" i="5"/>
  <c r="G121" i="5" s="1"/>
  <c r="F122" i="5"/>
  <c r="G122" i="5" s="1"/>
  <c r="F123" i="5"/>
  <c r="G123" i="5" s="1"/>
  <c r="F124" i="5"/>
  <c r="G124" i="5" s="1"/>
  <c r="F125" i="5"/>
  <c r="G125" i="5" s="1"/>
  <c r="F126" i="5"/>
  <c r="G126" i="5" s="1"/>
  <c r="F127" i="5"/>
  <c r="G127" i="5" s="1"/>
  <c r="F128" i="5"/>
  <c r="G128" i="5" s="1"/>
  <c r="F129" i="5"/>
  <c r="G129" i="5" s="1"/>
  <c r="F130" i="5"/>
  <c r="G130" i="5" s="1"/>
  <c r="F131" i="5"/>
  <c r="G131" i="5" s="1"/>
  <c r="F132" i="5"/>
  <c r="G132" i="5" s="1"/>
  <c r="F133" i="5"/>
  <c r="G133" i="5" s="1"/>
  <c r="F134" i="5"/>
  <c r="G134" i="5" s="1"/>
  <c r="F135" i="5"/>
  <c r="G135" i="5" s="1"/>
  <c r="F136" i="5"/>
  <c r="G136" i="5" s="1"/>
  <c r="F137" i="5"/>
  <c r="G137" i="5" s="1"/>
  <c r="F138" i="5"/>
  <c r="G138" i="5" s="1"/>
  <c r="F139" i="5"/>
  <c r="G139" i="5" s="1"/>
  <c r="F140" i="5"/>
  <c r="G140" i="5" s="1"/>
  <c r="F141" i="5"/>
  <c r="G141" i="5" s="1"/>
  <c r="F142" i="5"/>
  <c r="G142" i="5" s="1"/>
  <c r="F143" i="5"/>
  <c r="G143" i="5" s="1"/>
  <c r="F144" i="5"/>
  <c r="G144" i="5" s="1"/>
  <c r="F145" i="5"/>
  <c r="G145" i="5" s="1"/>
  <c r="F146" i="5"/>
  <c r="G146" i="5" s="1"/>
  <c r="F147" i="5"/>
  <c r="G147" i="5" s="1"/>
  <c r="F148" i="5"/>
  <c r="G148" i="5" s="1"/>
  <c r="F149" i="5"/>
  <c r="G149" i="5" s="1"/>
  <c r="F150" i="5"/>
  <c r="G150" i="5" s="1"/>
  <c r="F151" i="5"/>
  <c r="G151" i="5" s="1"/>
  <c r="F152" i="5"/>
  <c r="G152" i="5" s="1"/>
  <c r="F153" i="5"/>
  <c r="G153" i="5" s="1"/>
  <c r="F154" i="5"/>
  <c r="G154" i="5" s="1"/>
  <c r="F155" i="5"/>
  <c r="G155" i="5" s="1"/>
  <c r="F156" i="5"/>
  <c r="G156" i="5" s="1"/>
  <c r="F157" i="5"/>
  <c r="G157" i="5" s="1"/>
  <c r="F158" i="5"/>
  <c r="G158" i="5" s="1"/>
  <c r="F159" i="5"/>
  <c r="G159" i="5" s="1"/>
  <c r="F160" i="5"/>
  <c r="G160" i="5" s="1"/>
  <c r="F161" i="5"/>
  <c r="G161" i="5" s="1"/>
  <c r="F162" i="5"/>
  <c r="G162" i="5" s="1"/>
  <c r="F163" i="5"/>
  <c r="G163" i="5" s="1"/>
  <c r="F164" i="5"/>
  <c r="G164" i="5" s="1"/>
  <c r="F165" i="5"/>
  <c r="G165" i="5" s="1"/>
  <c r="F166" i="5"/>
  <c r="G166" i="5" s="1"/>
  <c r="F167" i="5"/>
  <c r="G167" i="5" s="1"/>
  <c r="F168" i="5"/>
  <c r="G168" i="5" s="1"/>
  <c r="F169" i="5"/>
  <c r="G169" i="5" s="1"/>
  <c r="F170" i="5"/>
  <c r="G170" i="5" s="1"/>
  <c r="F171" i="5"/>
  <c r="G171" i="5" s="1"/>
  <c r="F172" i="5"/>
  <c r="G172" i="5" s="1"/>
  <c r="F173" i="5"/>
  <c r="G173" i="5" s="1"/>
  <c r="F174" i="5"/>
  <c r="G174" i="5" s="1"/>
  <c r="F175" i="5"/>
  <c r="G175" i="5" s="1"/>
  <c r="F176" i="5"/>
  <c r="G176" i="5" s="1"/>
  <c r="F177" i="5"/>
  <c r="G177" i="5" s="1"/>
  <c r="F178" i="5"/>
  <c r="G178" i="5" s="1"/>
  <c r="F179" i="5"/>
  <c r="G179" i="5" s="1"/>
  <c r="F180" i="5"/>
  <c r="G180" i="5" s="1"/>
  <c r="F181" i="5"/>
  <c r="G181" i="5" s="1"/>
  <c r="F182" i="5"/>
  <c r="G182" i="5" s="1"/>
  <c r="F183" i="5"/>
  <c r="G183" i="5" s="1"/>
  <c r="F184" i="5"/>
  <c r="G184" i="5" s="1"/>
  <c r="F185" i="5"/>
  <c r="G185" i="5" s="1"/>
  <c r="F186" i="5"/>
  <c r="G186" i="5" s="1"/>
  <c r="F187" i="5"/>
  <c r="G187" i="5" s="1"/>
  <c r="F188" i="5"/>
  <c r="G188" i="5" s="1"/>
  <c r="F189" i="5"/>
  <c r="G189" i="5" s="1"/>
  <c r="F190" i="5"/>
  <c r="G190" i="5" s="1"/>
  <c r="F191" i="5"/>
  <c r="G191" i="5" s="1"/>
  <c r="F192" i="5"/>
  <c r="G192" i="5" s="1"/>
  <c r="F193" i="5"/>
  <c r="G193" i="5" s="1"/>
  <c r="F194" i="5"/>
  <c r="G194" i="5" s="1"/>
  <c r="F195" i="5"/>
  <c r="G195" i="5" s="1"/>
  <c r="F196" i="5"/>
  <c r="G196" i="5" s="1"/>
  <c r="F197" i="5"/>
  <c r="G197" i="5" s="1"/>
  <c r="F198" i="5"/>
  <c r="G198" i="5" s="1"/>
  <c r="F199" i="5"/>
  <c r="G199" i="5" s="1"/>
  <c r="F200" i="5"/>
  <c r="G200" i="5" s="1"/>
  <c r="F201" i="5"/>
  <c r="G201" i="5" s="1"/>
  <c r="F202" i="5"/>
  <c r="G202" i="5" s="1"/>
  <c r="F203" i="5"/>
  <c r="G203" i="5" s="1"/>
  <c r="F204" i="5"/>
  <c r="G204" i="5" s="1"/>
  <c r="F205" i="5"/>
  <c r="G205" i="5" s="1"/>
  <c r="F206" i="5"/>
  <c r="G206" i="5" s="1"/>
  <c r="F207" i="5"/>
  <c r="G207" i="5" s="1"/>
  <c r="F208" i="5"/>
  <c r="G208" i="5" s="1"/>
  <c r="F209" i="5"/>
  <c r="G209" i="5" s="1"/>
  <c r="F210" i="5"/>
  <c r="G210" i="5" s="1"/>
  <c r="F211" i="5"/>
  <c r="G211" i="5" s="1"/>
  <c r="F212" i="5"/>
  <c r="G212" i="5" s="1"/>
  <c r="F213" i="5"/>
  <c r="G213" i="5" s="1"/>
  <c r="F214" i="5"/>
  <c r="G214" i="5" s="1"/>
  <c r="F215" i="5"/>
  <c r="G215" i="5" s="1"/>
  <c r="F216" i="5"/>
  <c r="G216" i="5" s="1"/>
  <c r="F217" i="5"/>
  <c r="G217" i="5" s="1"/>
  <c r="F218" i="5"/>
  <c r="G218" i="5" s="1"/>
  <c r="F219" i="5"/>
  <c r="G219" i="5" s="1"/>
  <c r="F220" i="5"/>
  <c r="G220" i="5" s="1"/>
  <c r="F221" i="5"/>
  <c r="G221" i="5" s="1"/>
  <c r="F222" i="5"/>
  <c r="G222" i="5" s="1"/>
  <c r="F223" i="5"/>
  <c r="G223" i="5" s="1"/>
  <c r="F224" i="5"/>
  <c r="G224" i="5" s="1"/>
  <c r="F225" i="5"/>
  <c r="G225" i="5" s="1"/>
  <c r="F226" i="5"/>
  <c r="G226" i="5" s="1"/>
  <c r="F227" i="5"/>
  <c r="G227" i="5" s="1"/>
  <c r="F228" i="5"/>
  <c r="G228" i="5" s="1"/>
  <c r="F229" i="5"/>
  <c r="G229" i="5" s="1"/>
  <c r="F230" i="5"/>
  <c r="G230" i="5" s="1"/>
  <c r="F231" i="5"/>
  <c r="G231" i="5" s="1"/>
  <c r="F232" i="5"/>
  <c r="G232" i="5" s="1"/>
  <c r="F233" i="5"/>
  <c r="G233" i="5" s="1"/>
  <c r="F234" i="5"/>
  <c r="G234" i="5" s="1"/>
  <c r="F235" i="5"/>
  <c r="G235" i="5" s="1"/>
  <c r="F236" i="5"/>
  <c r="G236" i="5" s="1"/>
  <c r="F237" i="5"/>
  <c r="G237" i="5" s="1"/>
  <c r="F238" i="5"/>
  <c r="G238" i="5" s="1"/>
  <c r="F239" i="5"/>
  <c r="G239" i="5" s="1"/>
  <c r="F240" i="5"/>
  <c r="G240" i="5" s="1"/>
  <c r="F241" i="5"/>
  <c r="G241" i="5" s="1"/>
  <c r="F242" i="5"/>
  <c r="G242" i="5" s="1"/>
  <c r="F243" i="5"/>
  <c r="G243" i="5" s="1"/>
  <c r="F244" i="5"/>
  <c r="G244" i="5" s="1"/>
  <c r="F245" i="5"/>
  <c r="G245" i="5" s="1"/>
  <c r="F246" i="5"/>
  <c r="G246" i="5" s="1"/>
  <c r="F247" i="5"/>
  <c r="G247" i="5" s="1"/>
  <c r="F248" i="5"/>
  <c r="G248" i="5" s="1"/>
  <c r="F249" i="5"/>
  <c r="G249" i="5" s="1"/>
  <c r="F250" i="5"/>
  <c r="G250" i="5" s="1"/>
  <c r="F251" i="5"/>
  <c r="G251" i="5" s="1"/>
  <c r="F252" i="5"/>
  <c r="G252" i="5" s="1"/>
  <c r="F253" i="5"/>
  <c r="G253" i="5" s="1"/>
  <c r="F254" i="5"/>
  <c r="G254" i="5" s="1"/>
  <c r="F255" i="5"/>
  <c r="G255" i="5" s="1"/>
  <c r="F4" i="5"/>
  <c r="G4" i="5" s="1"/>
  <c r="E4" i="5"/>
  <c r="H3" i="5"/>
  <c r="N14" i="8" l="1"/>
  <c r="E5" i="5"/>
  <c r="G4" i="6"/>
  <c r="J3" i="6"/>
  <c r="H3" i="6"/>
  <c r="H4" i="5"/>
  <c r="J4" i="6" s="1"/>
  <c r="K4" i="6" s="1"/>
  <c r="G5" i="6" l="1"/>
  <c r="E6" i="5"/>
  <c r="L4" i="6"/>
  <c r="H5" i="5"/>
  <c r="J5" i="6" s="1"/>
  <c r="K5" i="6" s="1"/>
  <c r="H4" i="6"/>
  <c r="G6" i="6" l="1"/>
  <c r="E7" i="5"/>
  <c r="L5" i="6"/>
  <c r="H5" i="6"/>
  <c r="H6" i="5"/>
  <c r="J6" i="6" s="1"/>
  <c r="K6" i="6" s="1"/>
  <c r="E8" i="5" l="1"/>
  <c r="G7" i="6"/>
  <c r="L6" i="6"/>
  <c r="H6" i="6"/>
  <c r="H7" i="5"/>
  <c r="J7" i="6" s="1"/>
  <c r="K7" i="6" s="1"/>
  <c r="G8" i="6" l="1"/>
  <c r="E9" i="5"/>
  <c r="L7" i="6"/>
  <c r="H7" i="6"/>
  <c r="H8" i="5"/>
  <c r="J8" i="6" s="1"/>
  <c r="K8" i="6" s="1"/>
  <c r="E10" i="5" l="1"/>
  <c r="G9" i="6"/>
  <c r="L8" i="6"/>
  <c r="H8" i="6"/>
  <c r="H9" i="5"/>
  <c r="J9" i="6" s="1"/>
  <c r="K9" i="6" s="1"/>
  <c r="E11" i="5" l="1"/>
  <c r="G10" i="6"/>
  <c r="L9" i="6"/>
  <c r="H9" i="6"/>
  <c r="H10" i="5"/>
  <c r="J10" i="6" s="1"/>
  <c r="K10" i="6" s="1"/>
  <c r="E12" i="5" l="1"/>
  <c r="G11" i="6"/>
  <c r="L10" i="6"/>
  <c r="H10" i="6"/>
  <c r="H11" i="5"/>
  <c r="J11" i="6" s="1"/>
  <c r="K11" i="6" s="1"/>
  <c r="G12" i="6" l="1"/>
  <c r="E13" i="5"/>
  <c r="L11" i="6"/>
  <c r="H11" i="6"/>
  <c r="H12" i="5"/>
  <c r="J12" i="6" s="1"/>
  <c r="K12" i="6" s="1"/>
  <c r="E14" i="5" l="1"/>
  <c r="G13" i="6"/>
  <c r="L12" i="6"/>
  <c r="H12" i="6"/>
  <c r="H13" i="5"/>
  <c r="J13" i="6" s="1"/>
  <c r="K13" i="6" s="1"/>
  <c r="E15" i="5" l="1"/>
  <c r="G14" i="6"/>
  <c r="L13" i="6"/>
  <c r="H13" i="6"/>
  <c r="H14" i="5"/>
  <c r="J14" i="6" s="1"/>
  <c r="K14" i="6" s="1"/>
  <c r="E16" i="5" l="1"/>
  <c r="G15" i="6"/>
  <c r="L14" i="6"/>
  <c r="H14" i="6"/>
  <c r="H15" i="5"/>
  <c r="J15" i="6" s="1"/>
  <c r="K15" i="6" s="1"/>
  <c r="G16" i="6" l="1"/>
  <c r="E17" i="5"/>
  <c r="L15" i="6"/>
  <c r="H15" i="6"/>
  <c r="H16" i="5"/>
  <c r="J16" i="6" s="1"/>
  <c r="K16" i="6" s="1"/>
  <c r="E18" i="5" l="1"/>
  <c r="G17" i="6"/>
  <c r="L16" i="6"/>
  <c r="H16" i="6"/>
  <c r="H17" i="5"/>
  <c r="J17" i="6" s="1"/>
  <c r="K17" i="6" s="1"/>
  <c r="E19" i="5" l="1"/>
  <c r="G18" i="6"/>
  <c r="L17" i="6"/>
  <c r="H17" i="6"/>
  <c r="H18" i="5"/>
  <c r="J18" i="6" s="1"/>
  <c r="K18" i="6" s="1"/>
  <c r="G19" i="6" l="1"/>
  <c r="E20" i="5"/>
  <c r="L18" i="6"/>
  <c r="H18" i="6"/>
  <c r="H19" i="5"/>
  <c r="J19" i="6" s="1"/>
  <c r="K19" i="6" s="1"/>
  <c r="E21" i="5" l="1"/>
  <c r="G20" i="6"/>
  <c r="L19" i="6"/>
  <c r="H19" i="6"/>
  <c r="H20" i="5"/>
  <c r="J20" i="6" s="1"/>
  <c r="K20" i="6" s="1"/>
  <c r="E22" i="5" l="1"/>
  <c r="G21" i="6"/>
  <c r="L20" i="6"/>
  <c r="H20" i="6"/>
  <c r="H21" i="5"/>
  <c r="J21" i="6" s="1"/>
  <c r="K21" i="6" s="1"/>
  <c r="E23" i="5" l="1"/>
  <c r="G22" i="6"/>
  <c r="L21" i="6"/>
  <c r="H21" i="6"/>
  <c r="H22" i="5"/>
  <c r="J22" i="6" s="1"/>
  <c r="K22" i="6" s="1"/>
  <c r="E24" i="5" l="1"/>
  <c r="G23" i="6"/>
  <c r="L22" i="6"/>
  <c r="H22" i="6"/>
  <c r="H23" i="5"/>
  <c r="J23" i="6" s="1"/>
  <c r="K23" i="6" s="1"/>
  <c r="G24" i="6" l="1"/>
  <c r="E25" i="5"/>
  <c r="L23" i="6"/>
  <c r="H23" i="6"/>
  <c r="H24" i="5"/>
  <c r="J24" i="6" s="1"/>
  <c r="K24" i="6" s="1"/>
  <c r="E26" i="5" l="1"/>
  <c r="G25" i="6"/>
  <c r="L24" i="6"/>
  <c r="H24" i="6"/>
  <c r="H25" i="5"/>
  <c r="J25" i="6" s="1"/>
  <c r="K25" i="6" s="1"/>
  <c r="G26" i="6" l="1"/>
  <c r="E27" i="5"/>
  <c r="L25" i="6"/>
  <c r="H25" i="6"/>
  <c r="H26" i="5"/>
  <c r="J26" i="6" s="1"/>
  <c r="K26" i="6" s="1"/>
  <c r="G27" i="6" l="1"/>
  <c r="E28" i="5"/>
  <c r="L26" i="6"/>
  <c r="H26" i="6"/>
  <c r="H27" i="5"/>
  <c r="J27" i="6" s="1"/>
  <c r="K27" i="6" s="1"/>
  <c r="G28" i="6" l="1"/>
  <c r="E29" i="5"/>
  <c r="L27" i="6"/>
  <c r="H27" i="6"/>
  <c r="H28" i="5"/>
  <c r="J28" i="6" s="1"/>
  <c r="K28" i="6" s="1"/>
  <c r="E30" i="5" l="1"/>
  <c r="G29" i="6"/>
  <c r="L28" i="6"/>
  <c r="H28" i="6"/>
  <c r="H29" i="5"/>
  <c r="J29" i="6" s="1"/>
  <c r="K29" i="6" s="1"/>
  <c r="E31" i="5" l="1"/>
  <c r="G30" i="6"/>
  <c r="L29" i="6"/>
  <c r="H29" i="6"/>
  <c r="H30" i="5"/>
  <c r="J30" i="6" s="1"/>
  <c r="K30" i="6" s="1"/>
  <c r="E32" i="5" l="1"/>
  <c r="G31" i="6"/>
  <c r="L30" i="6"/>
  <c r="H30" i="6"/>
  <c r="H31" i="5"/>
  <c r="J31" i="6" s="1"/>
  <c r="K31" i="6" s="1"/>
  <c r="E33" i="5" l="1"/>
  <c r="G32" i="6"/>
  <c r="L31" i="6"/>
  <c r="H31" i="6"/>
  <c r="H32" i="5"/>
  <c r="J32" i="6" s="1"/>
  <c r="K32" i="6" s="1"/>
  <c r="E34" i="5" l="1"/>
  <c r="G33" i="6"/>
  <c r="L32" i="6"/>
  <c r="H32" i="6"/>
  <c r="H33" i="5"/>
  <c r="J33" i="6" s="1"/>
  <c r="K33" i="6" s="1"/>
  <c r="E35" i="5" l="1"/>
  <c r="G34" i="6"/>
  <c r="L33" i="6"/>
  <c r="H33" i="6"/>
  <c r="H34" i="5"/>
  <c r="J34" i="6" s="1"/>
  <c r="K34" i="6" s="1"/>
  <c r="E36" i="5" l="1"/>
  <c r="G35" i="6"/>
  <c r="L34" i="6"/>
  <c r="H34" i="6"/>
  <c r="H35" i="5"/>
  <c r="J35" i="6" s="1"/>
  <c r="K35" i="6" s="1"/>
  <c r="G36" i="6" l="1"/>
  <c r="E37" i="5"/>
  <c r="L35" i="6"/>
  <c r="H35" i="6"/>
  <c r="H36" i="5"/>
  <c r="J36" i="6" s="1"/>
  <c r="K36" i="6" s="1"/>
  <c r="E38" i="5" l="1"/>
  <c r="G37" i="6"/>
  <c r="L36" i="6"/>
  <c r="H36" i="6"/>
  <c r="H37" i="5"/>
  <c r="J37" i="6" s="1"/>
  <c r="K37" i="6" s="1"/>
  <c r="E39" i="5" l="1"/>
  <c r="G38" i="6"/>
  <c r="L37" i="6"/>
  <c r="H37" i="6"/>
  <c r="H38" i="5"/>
  <c r="J38" i="6" s="1"/>
  <c r="K38" i="6" s="1"/>
  <c r="E40" i="5" l="1"/>
  <c r="G39" i="6"/>
  <c r="L38" i="6"/>
  <c r="H38" i="6"/>
  <c r="H39" i="5"/>
  <c r="J39" i="6" s="1"/>
  <c r="K39" i="6" s="1"/>
  <c r="E41" i="5" l="1"/>
  <c r="G40" i="6"/>
  <c r="L39" i="6"/>
  <c r="H39" i="6"/>
  <c r="H40" i="5"/>
  <c r="J40" i="6" s="1"/>
  <c r="K40" i="6" s="1"/>
  <c r="E42" i="5" l="1"/>
  <c r="G41" i="6"/>
  <c r="L40" i="6"/>
  <c r="H40" i="6"/>
  <c r="H41" i="5"/>
  <c r="J41" i="6" s="1"/>
  <c r="K41" i="6" s="1"/>
  <c r="E43" i="5" l="1"/>
  <c r="G42" i="6"/>
  <c r="L41" i="6"/>
  <c r="H41" i="6"/>
  <c r="H42" i="5"/>
  <c r="J42" i="6" s="1"/>
  <c r="K42" i="6" s="1"/>
  <c r="E44" i="5" l="1"/>
  <c r="G43" i="6"/>
  <c r="L42" i="6"/>
  <c r="H42" i="6"/>
  <c r="H43" i="5"/>
  <c r="J43" i="6" s="1"/>
  <c r="K43" i="6" s="1"/>
  <c r="E45" i="5" l="1"/>
  <c r="G44" i="6"/>
  <c r="L43" i="6"/>
  <c r="H43" i="6"/>
  <c r="H44" i="5"/>
  <c r="J44" i="6" s="1"/>
  <c r="K44" i="6" s="1"/>
  <c r="E46" i="5" l="1"/>
  <c r="G45" i="6"/>
  <c r="L44" i="6"/>
  <c r="H44" i="6"/>
  <c r="H45" i="5"/>
  <c r="J45" i="6" s="1"/>
  <c r="K45" i="6" s="1"/>
  <c r="E47" i="5" l="1"/>
  <c r="G46" i="6"/>
  <c r="L45" i="6"/>
  <c r="H45" i="6"/>
  <c r="H46" i="5"/>
  <c r="J46" i="6" s="1"/>
  <c r="K46" i="6" s="1"/>
  <c r="G47" i="6" l="1"/>
  <c r="E48" i="5"/>
  <c r="L46" i="6"/>
  <c r="H46" i="6"/>
  <c r="H47" i="5"/>
  <c r="J47" i="6" s="1"/>
  <c r="K47" i="6" s="1"/>
  <c r="E49" i="5" l="1"/>
  <c r="G48" i="6"/>
  <c r="L47" i="6"/>
  <c r="H47" i="6"/>
  <c r="H48" i="5"/>
  <c r="J48" i="6" s="1"/>
  <c r="K48" i="6" s="1"/>
  <c r="E50" i="5" l="1"/>
  <c r="G49" i="6"/>
  <c r="L48" i="6"/>
  <c r="H48" i="6"/>
  <c r="H49" i="5"/>
  <c r="J49" i="6" s="1"/>
  <c r="K49" i="6" s="1"/>
  <c r="E51" i="5" l="1"/>
  <c r="G50" i="6"/>
  <c r="L49" i="6"/>
  <c r="H49" i="6"/>
  <c r="H50" i="5"/>
  <c r="J50" i="6" s="1"/>
  <c r="K50" i="6" s="1"/>
  <c r="G51" i="6" l="1"/>
  <c r="E52" i="5"/>
  <c r="L50" i="6"/>
  <c r="H50" i="6"/>
  <c r="H51" i="5"/>
  <c r="J51" i="6" s="1"/>
  <c r="K51" i="6" s="1"/>
  <c r="E53" i="5" l="1"/>
  <c r="G52" i="6"/>
  <c r="L51" i="6"/>
  <c r="H51" i="6"/>
  <c r="H52" i="5"/>
  <c r="J52" i="6" s="1"/>
  <c r="K52" i="6" s="1"/>
  <c r="E54" i="5" l="1"/>
  <c r="G53" i="6"/>
  <c r="L52" i="6"/>
  <c r="H52" i="6"/>
  <c r="H53" i="5"/>
  <c r="J53" i="6" s="1"/>
  <c r="K53" i="6" s="1"/>
  <c r="E55" i="5" l="1"/>
  <c r="G54" i="6"/>
  <c r="L53" i="6"/>
  <c r="H53" i="6"/>
  <c r="H54" i="5"/>
  <c r="J54" i="6" s="1"/>
  <c r="K54" i="6" s="1"/>
  <c r="G55" i="6" l="1"/>
  <c r="E56" i="5"/>
  <c r="L54" i="6"/>
  <c r="H54" i="6"/>
  <c r="H55" i="5"/>
  <c r="J55" i="6" s="1"/>
  <c r="K55" i="6" s="1"/>
  <c r="E57" i="5" l="1"/>
  <c r="G56" i="6"/>
  <c r="L55" i="6"/>
  <c r="H55" i="6"/>
  <c r="H56" i="5"/>
  <c r="J56" i="6" s="1"/>
  <c r="K56" i="6" s="1"/>
  <c r="E58" i="5" l="1"/>
  <c r="G57" i="6"/>
  <c r="L56" i="6"/>
  <c r="H56" i="6"/>
  <c r="H57" i="5"/>
  <c r="J57" i="6" s="1"/>
  <c r="K57" i="6" s="1"/>
  <c r="E59" i="5" l="1"/>
  <c r="G58" i="6"/>
  <c r="L57" i="6"/>
  <c r="H57" i="6"/>
  <c r="H58" i="5"/>
  <c r="J58" i="6" s="1"/>
  <c r="K58" i="6" s="1"/>
  <c r="E60" i="5" l="1"/>
  <c r="G59" i="6"/>
  <c r="L58" i="6"/>
  <c r="H58" i="6"/>
  <c r="H59" i="5"/>
  <c r="J59" i="6" s="1"/>
  <c r="K59" i="6" s="1"/>
  <c r="E61" i="5" l="1"/>
  <c r="G60" i="6"/>
  <c r="L59" i="6"/>
  <c r="H59" i="6"/>
  <c r="H60" i="5"/>
  <c r="J60" i="6" s="1"/>
  <c r="K60" i="6" s="1"/>
  <c r="E62" i="5" l="1"/>
  <c r="G61" i="6"/>
  <c r="L60" i="6"/>
  <c r="H60" i="6"/>
  <c r="H61" i="5"/>
  <c r="J61" i="6" s="1"/>
  <c r="K61" i="6" s="1"/>
  <c r="E63" i="5" l="1"/>
  <c r="G62" i="6"/>
  <c r="L61" i="6"/>
  <c r="H61" i="6"/>
  <c r="H62" i="5"/>
  <c r="J62" i="6" s="1"/>
  <c r="K62" i="6" s="1"/>
  <c r="G63" i="6" l="1"/>
  <c r="E64" i="5"/>
  <c r="L62" i="6"/>
  <c r="H62" i="6"/>
  <c r="H63" i="5"/>
  <c r="J63" i="6" s="1"/>
  <c r="K63" i="6" s="1"/>
  <c r="E65" i="5" l="1"/>
  <c r="G64" i="6"/>
  <c r="L63" i="6"/>
  <c r="H63" i="6"/>
  <c r="H64" i="5"/>
  <c r="J64" i="6" s="1"/>
  <c r="K64" i="6" s="1"/>
  <c r="G65" i="6" l="1"/>
  <c r="E66" i="5"/>
  <c r="L64" i="6"/>
  <c r="H64" i="6"/>
  <c r="H65" i="5"/>
  <c r="J65" i="6" s="1"/>
  <c r="K65" i="6" s="1"/>
  <c r="E67" i="5" l="1"/>
  <c r="G66" i="6"/>
  <c r="L65" i="6"/>
  <c r="H65" i="6"/>
  <c r="H66" i="5"/>
  <c r="J66" i="6" s="1"/>
  <c r="K66" i="6" s="1"/>
  <c r="G67" i="6" l="1"/>
  <c r="E68" i="5"/>
  <c r="L66" i="6"/>
  <c r="H66" i="6"/>
  <c r="H67" i="5"/>
  <c r="J67" i="6" s="1"/>
  <c r="K67" i="6" s="1"/>
  <c r="E69" i="5" l="1"/>
  <c r="G68" i="6"/>
  <c r="L67" i="6"/>
  <c r="H67" i="6"/>
  <c r="H68" i="5"/>
  <c r="J68" i="6" s="1"/>
  <c r="K68" i="6" s="1"/>
  <c r="E70" i="5" l="1"/>
  <c r="G69" i="6"/>
  <c r="L68" i="6"/>
  <c r="H68" i="6"/>
  <c r="H69" i="5"/>
  <c r="J69" i="6" s="1"/>
  <c r="K69" i="6" s="1"/>
  <c r="G70" i="6" l="1"/>
  <c r="E71" i="5"/>
  <c r="L69" i="6"/>
  <c r="H69" i="6"/>
  <c r="H70" i="5"/>
  <c r="J70" i="6" s="1"/>
  <c r="K70" i="6" s="1"/>
  <c r="E72" i="5" l="1"/>
  <c r="G71" i="6"/>
  <c r="L70" i="6"/>
  <c r="H70" i="6"/>
  <c r="H71" i="5"/>
  <c r="J71" i="6" s="1"/>
  <c r="K71" i="6" s="1"/>
  <c r="E73" i="5" l="1"/>
  <c r="G72" i="6"/>
  <c r="L71" i="6"/>
  <c r="H71" i="6"/>
  <c r="H72" i="5"/>
  <c r="J72" i="6" s="1"/>
  <c r="K72" i="6" s="1"/>
  <c r="G73" i="6" l="1"/>
  <c r="E74" i="5"/>
  <c r="L72" i="6"/>
  <c r="H72" i="6"/>
  <c r="H73" i="5"/>
  <c r="J73" i="6" s="1"/>
  <c r="K73" i="6" s="1"/>
  <c r="E75" i="5" l="1"/>
  <c r="G74" i="6"/>
  <c r="L73" i="6"/>
  <c r="H73" i="6"/>
  <c r="H74" i="5"/>
  <c r="J74" i="6" s="1"/>
  <c r="K74" i="6" s="1"/>
  <c r="E76" i="5" l="1"/>
  <c r="G75" i="6"/>
  <c r="L74" i="6"/>
  <c r="H74" i="6"/>
  <c r="H75" i="5"/>
  <c r="J75" i="6" s="1"/>
  <c r="K75" i="6" s="1"/>
  <c r="E77" i="5" l="1"/>
  <c r="G76" i="6"/>
  <c r="L75" i="6"/>
  <c r="H75" i="6"/>
  <c r="H76" i="5"/>
  <c r="J76" i="6" s="1"/>
  <c r="K76" i="6" s="1"/>
  <c r="G77" i="6" l="1"/>
  <c r="E78" i="5"/>
  <c r="L76" i="6"/>
  <c r="H76" i="6"/>
  <c r="H77" i="5"/>
  <c r="J77" i="6" s="1"/>
  <c r="K77" i="6" s="1"/>
  <c r="E79" i="5" l="1"/>
  <c r="G78" i="6"/>
  <c r="L77" i="6"/>
  <c r="H77" i="6"/>
  <c r="H78" i="5"/>
  <c r="J78" i="6" s="1"/>
  <c r="K78" i="6" s="1"/>
  <c r="G79" i="6" l="1"/>
  <c r="E80" i="5"/>
  <c r="L78" i="6"/>
  <c r="H78" i="6"/>
  <c r="H79" i="5"/>
  <c r="J79" i="6" s="1"/>
  <c r="K79" i="6" s="1"/>
  <c r="E81" i="5" l="1"/>
  <c r="G80" i="6"/>
  <c r="L79" i="6"/>
  <c r="H79" i="6"/>
  <c r="H80" i="5"/>
  <c r="J80" i="6" s="1"/>
  <c r="K80" i="6" s="1"/>
  <c r="E82" i="5" l="1"/>
  <c r="G81" i="6"/>
  <c r="L80" i="6"/>
  <c r="H80" i="6"/>
  <c r="H81" i="5"/>
  <c r="J81" i="6" s="1"/>
  <c r="K81" i="6" s="1"/>
  <c r="G82" i="6" l="1"/>
  <c r="E83" i="5"/>
  <c r="L81" i="6"/>
  <c r="H81" i="6"/>
  <c r="H82" i="5"/>
  <c r="J82" i="6" s="1"/>
  <c r="K82" i="6" s="1"/>
  <c r="G83" i="6" l="1"/>
  <c r="E84" i="5"/>
  <c r="L82" i="6"/>
  <c r="H82" i="6"/>
  <c r="H83" i="5"/>
  <c r="J83" i="6" s="1"/>
  <c r="K83" i="6" s="1"/>
  <c r="G84" i="6" l="1"/>
  <c r="E85" i="5"/>
  <c r="L83" i="6"/>
  <c r="H83" i="6"/>
  <c r="H84" i="5"/>
  <c r="J84" i="6" s="1"/>
  <c r="K84" i="6" s="1"/>
  <c r="E86" i="5" l="1"/>
  <c r="G85" i="6"/>
  <c r="L84" i="6"/>
  <c r="H84" i="6"/>
  <c r="H85" i="5"/>
  <c r="J85" i="6" s="1"/>
  <c r="K85" i="6" s="1"/>
  <c r="E87" i="5" l="1"/>
  <c r="G86" i="6"/>
  <c r="L85" i="6"/>
  <c r="H85" i="6"/>
  <c r="H86" i="5"/>
  <c r="J86" i="6" s="1"/>
  <c r="K86" i="6" s="1"/>
  <c r="E88" i="5" l="1"/>
  <c r="G87" i="6"/>
  <c r="L86" i="6"/>
  <c r="H86" i="6"/>
  <c r="H87" i="5"/>
  <c r="J87" i="6" s="1"/>
  <c r="K87" i="6" s="1"/>
  <c r="G88" i="6" l="1"/>
  <c r="E89" i="5"/>
  <c r="L87" i="6"/>
  <c r="H87" i="6"/>
  <c r="H88" i="5"/>
  <c r="J88" i="6" s="1"/>
  <c r="K88" i="6" s="1"/>
  <c r="E90" i="5" l="1"/>
  <c r="G89" i="6"/>
  <c r="L88" i="6"/>
  <c r="H88" i="6"/>
  <c r="H89" i="5"/>
  <c r="J89" i="6" s="1"/>
  <c r="K89" i="6" s="1"/>
  <c r="E91" i="5" l="1"/>
  <c r="G90" i="6"/>
  <c r="L89" i="6"/>
  <c r="H89" i="6"/>
  <c r="H90" i="5"/>
  <c r="J90" i="6" s="1"/>
  <c r="K90" i="6" s="1"/>
  <c r="E92" i="5" l="1"/>
  <c r="G91" i="6"/>
  <c r="L90" i="6"/>
  <c r="H90" i="6"/>
  <c r="H91" i="5"/>
  <c r="J91" i="6" s="1"/>
  <c r="K91" i="6" s="1"/>
  <c r="E93" i="5" l="1"/>
  <c r="G92" i="6"/>
  <c r="L91" i="6"/>
  <c r="H91" i="6"/>
  <c r="H92" i="5"/>
  <c r="J92" i="6" s="1"/>
  <c r="K92" i="6" s="1"/>
  <c r="E94" i="5" l="1"/>
  <c r="G93" i="6"/>
  <c r="L92" i="6"/>
  <c r="H92" i="6"/>
  <c r="H93" i="5"/>
  <c r="J93" i="6" s="1"/>
  <c r="K93" i="6" s="1"/>
  <c r="E95" i="5" l="1"/>
  <c r="G94" i="6"/>
  <c r="L93" i="6"/>
  <c r="H93" i="6"/>
  <c r="H94" i="5"/>
  <c r="J94" i="6" s="1"/>
  <c r="K94" i="6" s="1"/>
  <c r="G95" i="6" l="1"/>
  <c r="E96" i="5"/>
  <c r="L94" i="6"/>
  <c r="H94" i="6"/>
  <c r="H95" i="5"/>
  <c r="J95" i="6" s="1"/>
  <c r="K95" i="6" s="1"/>
  <c r="G96" i="6" l="1"/>
  <c r="E97" i="5"/>
  <c r="L95" i="6"/>
  <c r="H95" i="6"/>
  <c r="H96" i="5"/>
  <c r="J96" i="6" s="1"/>
  <c r="K96" i="6" s="1"/>
  <c r="E98" i="5" l="1"/>
  <c r="G97" i="6"/>
  <c r="L96" i="6"/>
  <c r="H96" i="6"/>
  <c r="H97" i="5"/>
  <c r="J97" i="6" s="1"/>
  <c r="K97" i="6" s="1"/>
  <c r="E99" i="5" l="1"/>
  <c r="G98" i="6"/>
  <c r="L97" i="6"/>
  <c r="H97" i="6"/>
  <c r="H98" i="5"/>
  <c r="J98" i="6" s="1"/>
  <c r="K98" i="6" s="1"/>
  <c r="E100" i="5" l="1"/>
  <c r="G99" i="6"/>
  <c r="L98" i="6"/>
  <c r="H98" i="6"/>
  <c r="H99" i="5"/>
  <c r="J99" i="6" s="1"/>
  <c r="K99" i="6" s="1"/>
  <c r="E101" i="5" l="1"/>
  <c r="G100" i="6"/>
  <c r="L99" i="6"/>
  <c r="H99" i="6"/>
  <c r="H100" i="5"/>
  <c r="J100" i="6" s="1"/>
  <c r="K100" i="6" s="1"/>
  <c r="G101" i="6" l="1"/>
  <c r="E102" i="5"/>
  <c r="L100" i="6"/>
  <c r="H100" i="6"/>
  <c r="H101" i="5"/>
  <c r="J101" i="6" s="1"/>
  <c r="K101" i="6" s="1"/>
  <c r="E103" i="5" l="1"/>
  <c r="G102" i="6"/>
  <c r="L101" i="6"/>
  <c r="H101" i="6"/>
  <c r="H102" i="5"/>
  <c r="J102" i="6" s="1"/>
  <c r="K102" i="6" s="1"/>
  <c r="G103" i="6" l="1"/>
  <c r="E104" i="5"/>
  <c r="L102" i="6"/>
  <c r="H102" i="6"/>
  <c r="H103" i="5"/>
  <c r="J103" i="6" s="1"/>
  <c r="K103" i="6" s="1"/>
  <c r="E105" i="5" l="1"/>
  <c r="G104" i="6"/>
  <c r="L103" i="6"/>
  <c r="H103" i="6"/>
  <c r="H104" i="5"/>
  <c r="J104" i="6" s="1"/>
  <c r="K104" i="6" s="1"/>
  <c r="E106" i="5" l="1"/>
  <c r="G105" i="6"/>
  <c r="L104" i="6"/>
  <c r="H104" i="6"/>
  <c r="H105" i="5"/>
  <c r="J105" i="6" s="1"/>
  <c r="K105" i="6" s="1"/>
  <c r="E107" i="5" l="1"/>
  <c r="G106" i="6"/>
  <c r="L105" i="6"/>
  <c r="H105" i="6"/>
  <c r="H106" i="5"/>
  <c r="J106" i="6" s="1"/>
  <c r="K106" i="6" s="1"/>
  <c r="E108" i="5" l="1"/>
  <c r="G107" i="6"/>
  <c r="L106" i="6"/>
  <c r="H106" i="6"/>
  <c r="H107" i="5"/>
  <c r="J107" i="6" s="1"/>
  <c r="K107" i="6" s="1"/>
  <c r="E109" i="5" l="1"/>
  <c r="G108" i="6"/>
  <c r="L107" i="6"/>
  <c r="H107" i="6"/>
  <c r="H108" i="5"/>
  <c r="J108" i="6" s="1"/>
  <c r="K108" i="6" s="1"/>
  <c r="E110" i="5" l="1"/>
  <c r="G109" i="6"/>
  <c r="L108" i="6"/>
  <c r="H108" i="6"/>
  <c r="H109" i="5"/>
  <c r="J109" i="6" s="1"/>
  <c r="K109" i="6" s="1"/>
  <c r="G110" i="6" l="1"/>
  <c r="E111" i="5"/>
  <c r="L109" i="6"/>
  <c r="H109" i="6"/>
  <c r="H110" i="5"/>
  <c r="J110" i="6" s="1"/>
  <c r="K110" i="6" s="1"/>
  <c r="G111" i="6" l="1"/>
  <c r="E112" i="5"/>
  <c r="L110" i="6"/>
  <c r="H110" i="6"/>
  <c r="H111" i="5"/>
  <c r="J111" i="6" s="1"/>
  <c r="K111" i="6" s="1"/>
  <c r="E113" i="5" l="1"/>
  <c r="G112" i="6"/>
  <c r="L111" i="6"/>
  <c r="H111" i="6"/>
  <c r="H112" i="5"/>
  <c r="J112" i="6" s="1"/>
  <c r="K112" i="6" s="1"/>
  <c r="G113" i="6" l="1"/>
  <c r="E114" i="5"/>
  <c r="L112" i="6"/>
  <c r="H112" i="6"/>
  <c r="H113" i="5"/>
  <c r="J113" i="6" s="1"/>
  <c r="K113" i="6" s="1"/>
  <c r="E115" i="5" l="1"/>
  <c r="G114" i="6"/>
  <c r="L113" i="6"/>
  <c r="H113" i="6"/>
  <c r="H114" i="5"/>
  <c r="J114" i="6" s="1"/>
  <c r="K114" i="6" s="1"/>
  <c r="E116" i="5" l="1"/>
  <c r="G115" i="6"/>
  <c r="L114" i="6"/>
  <c r="H114" i="6"/>
  <c r="H115" i="5"/>
  <c r="J115" i="6" s="1"/>
  <c r="K115" i="6" s="1"/>
  <c r="E117" i="5" l="1"/>
  <c r="G116" i="6"/>
  <c r="L115" i="6"/>
  <c r="H115" i="6"/>
  <c r="H116" i="5"/>
  <c r="J116" i="6" s="1"/>
  <c r="K116" i="6" s="1"/>
  <c r="E118" i="5" l="1"/>
  <c r="G117" i="6"/>
  <c r="L116" i="6"/>
  <c r="H116" i="6"/>
  <c r="H117" i="5"/>
  <c r="J117" i="6" s="1"/>
  <c r="K117" i="6" s="1"/>
  <c r="E119" i="5" l="1"/>
  <c r="G118" i="6"/>
  <c r="L117" i="6"/>
  <c r="H117" i="6"/>
  <c r="H118" i="5"/>
  <c r="J118" i="6" s="1"/>
  <c r="K118" i="6" s="1"/>
  <c r="E120" i="5" l="1"/>
  <c r="G119" i="6"/>
  <c r="L118" i="6"/>
  <c r="H118" i="6"/>
  <c r="H119" i="5"/>
  <c r="J119" i="6" s="1"/>
  <c r="K119" i="6" s="1"/>
  <c r="E121" i="5" l="1"/>
  <c r="G120" i="6"/>
  <c r="L119" i="6"/>
  <c r="H119" i="6"/>
  <c r="H120" i="5"/>
  <c r="J120" i="6" s="1"/>
  <c r="K120" i="6" s="1"/>
  <c r="E122" i="5" l="1"/>
  <c r="G121" i="6"/>
  <c r="L120" i="6"/>
  <c r="H120" i="6"/>
  <c r="H121" i="5"/>
  <c r="J121" i="6" s="1"/>
  <c r="K121" i="6" s="1"/>
  <c r="G122" i="6" l="1"/>
  <c r="E123" i="5"/>
  <c r="L121" i="6"/>
  <c r="H121" i="6"/>
  <c r="H122" i="5"/>
  <c r="J122" i="6" s="1"/>
  <c r="K122" i="6" s="1"/>
  <c r="E124" i="5" l="1"/>
  <c r="G123" i="6"/>
  <c r="L122" i="6"/>
  <c r="H122" i="6"/>
  <c r="H123" i="5"/>
  <c r="J123" i="6" s="1"/>
  <c r="K123" i="6" s="1"/>
  <c r="E125" i="5" l="1"/>
  <c r="G124" i="6"/>
  <c r="L123" i="6"/>
  <c r="H123" i="6"/>
  <c r="H124" i="5"/>
  <c r="J124" i="6" s="1"/>
  <c r="K124" i="6" s="1"/>
  <c r="E126" i="5" l="1"/>
  <c r="G125" i="6"/>
  <c r="L124" i="6"/>
  <c r="H124" i="6"/>
  <c r="H125" i="5"/>
  <c r="J125" i="6" s="1"/>
  <c r="K125" i="6" s="1"/>
  <c r="E127" i="5" l="1"/>
  <c r="G126" i="6"/>
  <c r="L125" i="6"/>
  <c r="H125" i="6"/>
  <c r="H126" i="5"/>
  <c r="J126" i="6" s="1"/>
  <c r="K126" i="6" s="1"/>
  <c r="G127" i="6" l="1"/>
  <c r="E128" i="5"/>
  <c r="L126" i="6"/>
  <c r="H126" i="6"/>
  <c r="H127" i="5"/>
  <c r="J127" i="6" s="1"/>
  <c r="K127" i="6" s="1"/>
  <c r="G128" i="6" l="1"/>
  <c r="E129" i="5"/>
  <c r="L127" i="6"/>
  <c r="H127" i="6"/>
  <c r="H128" i="5"/>
  <c r="J128" i="6" s="1"/>
  <c r="K128" i="6" s="1"/>
  <c r="E130" i="5" l="1"/>
  <c r="G129" i="6"/>
  <c r="L128" i="6"/>
  <c r="H128" i="6"/>
  <c r="H129" i="5"/>
  <c r="J129" i="6" s="1"/>
  <c r="K129" i="6" s="1"/>
  <c r="E131" i="5" l="1"/>
  <c r="G130" i="6"/>
  <c r="L129" i="6"/>
  <c r="H129" i="6"/>
  <c r="H130" i="5"/>
  <c r="J130" i="6" s="1"/>
  <c r="K130" i="6" s="1"/>
  <c r="G131" i="6" l="1"/>
  <c r="E132" i="5"/>
  <c r="L130" i="6"/>
  <c r="H130" i="6"/>
  <c r="H131" i="5"/>
  <c r="J131" i="6" s="1"/>
  <c r="K131" i="6" s="1"/>
  <c r="E133" i="5" l="1"/>
  <c r="G132" i="6"/>
  <c r="L131" i="6"/>
  <c r="H131" i="6"/>
  <c r="H132" i="5"/>
  <c r="J132" i="6" s="1"/>
  <c r="K132" i="6" s="1"/>
  <c r="E134" i="5" l="1"/>
  <c r="G133" i="6"/>
  <c r="L132" i="6"/>
  <c r="H132" i="6"/>
  <c r="H133" i="5"/>
  <c r="J133" i="6" s="1"/>
  <c r="K133" i="6" s="1"/>
  <c r="E135" i="5" l="1"/>
  <c r="G134" i="6"/>
  <c r="L133" i="6"/>
  <c r="H133" i="6"/>
  <c r="H134" i="5"/>
  <c r="J134" i="6" s="1"/>
  <c r="K134" i="6" s="1"/>
  <c r="E136" i="5" l="1"/>
  <c r="G135" i="6"/>
  <c r="L134" i="6"/>
  <c r="H134" i="6"/>
  <c r="H135" i="5"/>
  <c r="J135" i="6" s="1"/>
  <c r="K135" i="6" s="1"/>
  <c r="E137" i="5" l="1"/>
  <c r="G136" i="6"/>
  <c r="L135" i="6"/>
  <c r="H135" i="6"/>
  <c r="H136" i="5"/>
  <c r="J136" i="6" s="1"/>
  <c r="K136" i="6" s="1"/>
  <c r="E138" i="5" l="1"/>
  <c r="G137" i="6"/>
  <c r="L136" i="6"/>
  <c r="H136" i="6"/>
  <c r="H137" i="5"/>
  <c r="J137" i="6" s="1"/>
  <c r="K137" i="6" s="1"/>
  <c r="E139" i="5" l="1"/>
  <c r="G138" i="6"/>
  <c r="L137" i="6"/>
  <c r="H137" i="6"/>
  <c r="H138" i="5"/>
  <c r="J138" i="6" s="1"/>
  <c r="K138" i="6" s="1"/>
  <c r="G139" i="6" l="1"/>
  <c r="E140" i="5"/>
  <c r="L138" i="6"/>
  <c r="H138" i="6"/>
  <c r="H139" i="5"/>
  <c r="J139" i="6" s="1"/>
  <c r="K139" i="6" s="1"/>
  <c r="E141" i="5" l="1"/>
  <c r="G140" i="6"/>
  <c r="L139" i="6"/>
  <c r="H139" i="6"/>
  <c r="H140" i="5"/>
  <c r="J140" i="6" s="1"/>
  <c r="K140" i="6" s="1"/>
  <c r="E142" i="5" l="1"/>
  <c r="G141" i="6"/>
  <c r="L140" i="6"/>
  <c r="H140" i="6"/>
  <c r="H141" i="5"/>
  <c r="J141" i="6" s="1"/>
  <c r="K141" i="6" s="1"/>
  <c r="E143" i="5" l="1"/>
  <c r="G142" i="6"/>
  <c r="L141" i="6"/>
  <c r="H141" i="6"/>
  <c r="H142" i="5"/>
  <c r="J142" i="6" s="1"/>
  <c r="K142" i="6" s="1"/>
  <c r="G143" i="6" l="1"/>
  <c r="E144" i="5"/>
  <c r="L142" i="6"/>
  <c r="H142" i="6"/>
  <c r="H143" i="5"/>
  <c r="J143" i="6" s="1"/>
  <c r="K143" i="6" s="1"/>
  <c r="E145" i="5" l="1"/>
  <c r="G144" i="6"/>
  <c r="L143" i="6"/>
  <c r="H143" i="6"/>
  <c r="H144" i="5"/>
  <c r="J144" i="6" s="1"/>
  <c r="K144" i="6" s="1"/>
  <c r="E146" i="5" l="1"/>
  <c r="G145" i="6"/>
  <c r="L144" i="6"/>
  <c r="H144" i="6"/>
  <c r="H145" i="5"/>
  <c r="J145" i="6" s="1"/>
  <c r="K145" i="6" s="1"/>
  <c r="E147" i="5" l="1"/>
  <c r="G146" i="6"/>
  <c r="L145" i="6"/>
  <c r="H145" i="6"/>
  <c r="H146" i="5"/>
  <c r="J146" i="6" s="1"/>
  <c r="K146" i="6" s="1"/>
  <c r="E148" i="5" l="1"/>
  <c r="G147" i="6"/>
  <c r="L146" i="6"/>
  <c r="H146" i="6"/>
  <c r="H147" i="5"/>
  <c r="J147" i="6" s="1"/>
  <c r="K147" i="6" s="1"/>
  <c r="G148" i="6" l="1"/>
  <c r="E149" i="5"/>
  <c r="L147" i="6"/>
  <c r="H147" i="6"/>
  <c r="H148" i="5"/>
  <c r="J148" i="6" s="1"/>
  <c r="K148" i="6" s="1"/>
  <c r="E150" i="5" l="1"/>
  <c r="G149" i="6"/>
  <c r="L148" i="6"/>
  <c r="H148" i="6"/>
  <c r="H149" i="5"/>
  <c r="J149" i="6" s="1"/>
  <c r="K149" i="6" s="1"/>
  <c r="E151" i="5" l="1"/>
  <c r="G150" i="6"/>
  <c r="L149" i="6"/>
  <c r="H149" i="6"/>
  <c r="H150" i="5"/>
  <c r="J150" i="6" s="1"/>
  <c r="K150" i="6" s="1"/>
  <c r="G151" i="6" l="1"/>
  <c r="E152" i="5"/>
  <c r="L150" i="6"/>
  <c r="H150" i="6"/>
  <c r="H151" i="5"/>
  <c r="J151" i="6" s="1"/>
  <c r="K151" i="6" s="1"/>
  <c r="E153" i="5" l="1"/>
  <c r="G152" i="6"/>
  <c r="L151" i="6"/>
  <c r="H151" i="6"/>
  <c r="H152" i="5"/>
  <c r="J152" i="6" s="1"/>
  <c r="K152" i="6" s="1"/>
  <c r="E154" i="5" l="1"/>
  <c r="G153" i="6"/>
  <c r="L152" i="6"/>
  <c r="H152" i="6"/>
  <c r="H153" i="5"/>
  <c r="J153" i="6" s="1"/>
  <c r="K153" i="6" s="1"/>
  <c r="G154" i="6" l="1"/>
  <c r="E155" i="5"/>
  <c r="L153" i="6"/>
  <c r="H153" i="6"/>
  <c r="H154" i="5"/>
  <c r="J154" i="6" s="1"/>
  <c r="K154" i="6" s="1"/>
  <c r="E156" i="5" l="1"/>
  <c r="G155" i="6"/>
  <c r="L154" i="6"/>
  <c r="H154" i="6"/>
  <c r="H155" i="5"/>
  <c r="J155" i="6" s="1"/>
  <c r="K155" i="6" s="1"/>
  <c r="E157" i="5" l="1"/>
  <c r="G156" i="6"/>
  <c r="L155" i="6"/>
  <c r="H155" i="6"/>
  <c r="H156" i="5"/>
  <c r="J156" i="6" s="1"/>
  <c r="K156" i="6" s="1"/>
  <c r="E158" i="5" l="1"/>
  <c r="G157" i="6"/>
  <c r="L156" i="6"/>
  <c r="H156" i="6"/>
  <c r="H157" i="5"/>
  <c r="J157" i="6" s="1"/>
  <c r="K157" i="6" s="1"/>
  <c r="G158" i="6" l="1"/>
  <c r="E159" i="5"/>
  <c r="L157" i="6"/>
  <c r="H157" i="6"/>
  <c r="H158" i="5"/>
  <c r="J158" i="6" s="1"/>
  <c r="K158" i="6" s="1"/>
  <c r="G159" i="6" l="1"/>
  <c r="E160" i="5"/>
  <c r="L158" i="6"/>
  <c r="H158" i="6"/>
  <c r="H159" i="5"/>
  <c r="J159" i="6" s="1"/>
  <c r="K159" i="6" s="1"/>
  <c r="E161" i="5" l="1"/>
  <c r="G160" i="6"/>
  <c r="L159" i="6"/>
  <c r="H159" i="6"/>
  <c r="H160" i="5"/>
  <c r="J160" i="6" s="1"/>
  <c r="K160" i="6" s="1"/>
  <c r="G161" i="6" l="1"/>
  <c r="E162" i="5"/>
  <c r="L160" i="6"/>
  <c r="H160" i="6"/>
  <c r="H161" i="5"/>
  <c r="J161" i="6" s="1"/>
  <c r="K161" i="6" s="1"/>
  <c r="G162" i="6" l="1"/>
  <c r="E163" i="5"/>
  <c r="L161" i="6"/>
  <c r="H161" i="6"/>
  <c r="H162" i="5"/>
  <c r="J162" i="6" s="1"/>
  <c r="K162" i="6" s="1"/>
  <c r="G163" i="6" l="1"/>
  <c r="E164" i="5"/>
  <c r="L162" i="6"/>
  <c r="H162" i="6"/>
  <c r="H163" i="5"/>
  <c r="J163" i="6" s="1"/>
  <c r="K163" i="6" s="1"/>
  <c r="E165" i="5" l="1"/>
  <c r="G164" i="6"/>
  <c r="L163" i="6"/>
  <c r="H163" i="6"/>
  <c r="H164" i="5"/>
  <c r="J164" i="6" s="1"/>
  <c r="K164" i="6" s="1"/>
  <c r="G165" i="6" l="1"/>
  <c r="E166" i="5"/>
  <c r="L164" i="6"/>
  <c r="H164" i="6"/>
  <c r="H165" i="5"/>
  <c r="J165" i="6" s="1"/>
  <c r="K165" i="6" s="1"/>
  <c r="E167" i="5" l="1"/>
  <c r="G166" i="6"/>
  <c r="L165" i="6"/>
  <c r="H165" i="6"/>
  <c r="H166" i="5"/>
  <c r="J166" i="6" s="1"/>
  <c r="K166" i="6" s="1"/>
  <c r="E168" i="5" l="1"/>
  <c r="G167" i="6"/>
  <c r="L166" i="6"/>
  <c r="H166" i="6"/>
  <c r="H167" i="5"/>
  <c r="J167" i="6" s="1"/>
  <c r="K167" i="6" s="1"/>
  <c r="G168" i="6" l="1"/>
  <c r="E169" i="5"/>
  <c r="L167" i="6"/>
  <c r="H167" i="6"/>
  <c r="H168" i="5"/>
  <c r="J168" i="6" s="1"/>
  <c r="K168" i="6" s="1"/>
  <c r="G169" i="6" l="1"/>
  <c r="E170" i="5"/>
  <c r="L168" i="6"/>
  <c r="H168" i="6"/>
  <c r="H169" i="5"/>
  <c r="J169" i="6" s="1"/>
  <c r="K169" i="6" s="1"/>
  <c r="E171" i="5" l="1"/>
  <c r="G170" i="6"/>
  <c r="L169" i="6"/>
  <c r="H169" i="6"/>
  <c r="H170" i="5"/>
  <c r="J170" i="6" s="1"/>
  <c r="K170" i="6" s="1"/>
  <c r="G171" i="6" l="1"/>
  <c r="E172" i="5"/>
  <c r="L170" i="6"/>
  <c r="H170" i="6"/>
  <c r="H171" i="5"/>
  <c r="J171" i="6" s="1"/>
  <c r="K171" i="6" s="1"/>
  <c r="E173" i="5" l="1"/>
  <c r="G172" i="6"/>
  <c r="L171" i="6"/>
  <c r="H171" i="6"/>
  <c r="H172" i="5"/>
  <c r="J172" i="6" s="1"/>
  <c r="K172" i="6" s="1"/>
  <c r="E174" i="5" l="1"/>
  <c r="G173" i="6"/>
  <c r="L172" i="6"/>
  <c r="H172" i="6"/>
  <c r="H173" i="5"/>
  <c r="J173" i="6" s="1"/>
  <c r="K173" i="6" s="1"/>
  <c r="E175" i="5" l="1"/>
  <c r="G174" i="6"/>
  <c r="L173" i="6"/>
  <c r="H173" i="6"/>
  <c r="H174" i="5"/>
  <c r="J174" i="6" s="1"/>
  <c r="K174" i="6" s="1"/>
  <c r="E176" i="5" l="1"/>
  <c r="G175" i="6"/>
  <c r="L174" i="6"/>
  <c r="H174" i="6"/>
  <c r="H175" i="5"/>
  <c r="J175" i="6" s="1"/>
  <c r="K175" i="6" s="1"/>
  <c r="G176" i="6" l="1"/>
  <c r="E177" i="5"/>
  <c r="L175" i="6"/>
  <c r="H175" i="6"/>
  <c r="H176" i="5"/>
  <c r="J176" i="6" s="1"/>
  <c r="K176" i="6" s="1"/>
  <c r="E178" i="5" l="1"/>
  <c r="G177" i="6"/>
  <c r="L176" i="6"/>
  <c r="H176" i="6"/>
  <c r="H177" i="5"/>
  <c r="J177" i="6" s="1"/>
  <c r="K177" i="6" s="1"/>
  <c r="E179" i="5" l="1"/>
  <c r="G178" i="6"/>
  <c r="L177" i="6"/>
  <c r="H177" i="6"/>
  <c r="H178" i="5"/>
  <c r="J178" i="6" s="1"/>
  <c r="K178" i="6" s="1"/>
  <c r="E180" i="5" l="1"/>
  <c r="G179" i="6"/>
  <c r="L178" i="6"/>
  <c r="H178" i="6"/>
  <c r="H179" i="5"/>
  <c r="J179" i="6" s="1"/>
  <c r="K179" i="6" s="1"/>
  <c r="E181" i="5" l="1"/>
  <c r="G180" i="6"/>
  <c r="L179" i="6"/>
  <c r="H179" i="6"/>
  <c r="H180" i="5"/>
  <c r="J180" i="6" s="1"/>
  <c r="K180" i="6" s="1"/>
  <c r="E182" i="5" l="1"/>
  <c r="G181" i="6"/>
  <c r="L180" i="6"/>
  <c r="H180" i="6"/>
  <c r="H181" i="5"/>
  <c r="J181" i="6" s="1"/>
  <c r="K181" i="6" s="1"/>
  <c r="E183" i="5" l="1"/>
  <c r="G182" i="6"/>
  <c r="L181" i="6"/>
  <c r="H181" i="6"/>
  <c r="H182" i="5"/>
  <c r="J182" i="6" s="1"/>
  <c r="K182" i="6" s="1"/>
  <c r="G183" i="6" l="1"/>
  <c r="E184" i="5"/>
  <c r="L182" i="6"/>
  <c r="H182" i="6"/>
  <c r="H183" i="5"/>
  <c r="J183" i="6" s="1"/>
  <c r="N15" i="8" s="1"/>
  <c r="E185" i="5" l="1"/>
  <c r="G184" i="6"/>
  <c r="K183" i="6"/>
  <c r="L183" i="6" s="1"/>
  <c r="R11" i="10"/>
  <c r="H183" i="6"/>
  <c r="H184" i="5"/>
  <c r="J184" i="6" s="1"/>
  <c r="K184" i="6" s="1"/>
  <c r="G185" i="6" l="1"/>
  <c r="E186" i="5"/>
  <c r="L184" i="6"/>
  <c r="H184" i="6"/>
  <c r="H185" i="5"/>
  <c r="J185" i="6" s="1"/>
  <c r="K185" i="6" s="1"/>
  <c r="G186" i="6" l="1"/>
  <c r="E187" i="5"/>
  <c r="L185" i="6"/>
  <c r="H185" i="6"/>
  <c r="H186" i="5"/>
  <c r="J186" i="6" s="1"/>
  <c r="K186" i="6" s="1"/>
  <c r="E188" i="5" l="1"/>
  <c r="G187" i="6"/>
  <c r="L186" i="6"/>
  <c r="H186" i="6"/>
  <c r="H187" i="5"/>
  <c r="J187" i="6" s="1"/>
  <c r="K187" i="6" s="1"/>
  <c r="E189" i="5" l="1"/>
  <c r="G188" i="6"/>
  <c r="L187" i="6"/>
  <c r="H187" i="6"/>
  <c r="H188" i="5"/>
  <c r="J188" i="6" s="1"/>
  <c r="K188" i="6" s="1"/>
  <c r="E190" i="5" l="1"/>
  <c r="G189" i="6"/>
  <c r="L188" i="6"/>
  <c r="H188" i="6"/>
  <c r="H189" i="5"/>
  <c r="J189" i="6" s="1"/>
  <c r="K189" i="6" s="1"/>
  <c r="E191" i="5" l="1"/>
  <c r="G190" i="6"/>
  <c r="L189" i="6"/>
  <c r="H189" i="6"/>
  <c r="H190" i="5"/>
  <c r="J190" i="6" s="1"/>
  <c r="K190" i="6" s="1"/>
  <c r="G191" i="6" l="1"/>
  <c r="E192" i="5"/>
  <c r="L190" i="6"/>
  <c r="H190" i="6"/>
  <c r="H191" i="5"/>
  <c r="J191" i="6" s="1"/>
  <c r="K191" i="6" s="1"/>
  <c r="G192" i="6" l="1"/>
  <c r="E193" i="5"/>
  <c r="L191" i="6"/>
  <c r="H191" i="6"/>
  <c r="H192" i="5"/>
  <c r="J192" i="6" s="1"/>
  <c r="K192" i="6" s="1"/>
  <c r="G193" i="6" l="1"/>
  <c r="E194" i="5"/>
  <c r="L192" i="6"/>
  <c r="H192" i="6"/>
  <c r="H193" i="5"/>
  <c r="J193" i="6" s="1"/>
  <c r="N16" i="8" s="1"/>
  <c r="G194" i="6" l="1"/>
  <c r="E195" i="5"/>
  <c r="K193" i="6"/>
  <c r="L193" i="6" s="1"/>
  <c r="H193" i="6"/>
  <c r="H194" i="5"/>
  <c r="J194" i="6" s="1"/>
  <c r="K194" i="6" s="1"/>
  <c r="G195" i="6" l="1"/>
  <c r="E196" i="5"/>
  <c r="N17" i="8"/>
  <c r="G26" i="9" s="1"/>
  <c r="R12" i="10"/>
  <c r="L194" i="6"/>
  <c r="H194" i="6"/>
  <c r="H195" i="5"/>
  <c r="J195" i="6" s="1"/>
  <c r="K195" i="6" s="1"/>
  <c r="E197" i="5" l="1"/>
  <c r="G196" i="6"/>
  <c r="R9" i="10"/>
  <c r="G25" i="9"/>
  <c r="R10" i="10"/>
  <c r="G27" i="9"/>
  <c r="L195" i="6"/>
  <c r="H195" i="6"/>
  <c r="H196" i="5"/>
  <c r="J196" i="6" s="1"/>
  <c r="K196" i="6" s="1"/>
  <c r="E198" i="5" l="1"/>
  <c r="G197" i="6"/>
  <c r="L196" i="6"/>
  <c r="H196" i="6"/>
  <c r="H197" i="5"/>
  <c r="J197" i="6" s="1"/>
  <c r="K197" i="6" s="1"/>
  <c r="E199" i="5" l="1"/>
  <c r="G198" i="6"/>
  <c r="L197" i="6"/>
  <c r="H197" i="6"/>
  <c r="H198" i="5"/>
  <c r="J198" i="6" s="1"/>
  <c r="K198" i="6" s="1"/>
  <c r="G199" i="6" l="1"/>
  <c r="E200" i="5"/>
  <c r="L198" i="6"/>
  <c r="H198" i="6"/>
  <c r="H199" i="5"/>
  <c r="J199" i="6" s="1"/>
  <c r="K199" i="6" s="1"/>
  <c r="E201" i="5" l="1"/>
  <c r="G200" i="6"/>
  <c r="L199" i="6"/>
  <c r="H199" i="6"/>
  <c r="H200" i="5"/>
  <c r="J200" i="6" s="1"/>
  <c r="K200" i="6" s="1"/>
  <c r="G201" i="6" l="1"/>
  <c r="E202" i="5"/>
  <c r="L200" i="6"/>
  <c r="H200" i="6"/>
  <c r="H201" i="5"/>
  <c r="J201" i="6" s="1"/>
  <c r="K201" i="6" s="1"/>
  <c r="E203" i="5" l="1"/>
  <c r="G202" i="6"/>
  <c r="L201" i="6"/>
  <c r="H201" i="6"/>
  <c r="H202" i="5"/>
  <c r="J202" i="6" s="1"/>
  <c r="K202" i="6" s="1"/>
  <c r="E204" i="5" l="1"/>
  <c r="G203" i="6"/>
  <c r="L202" i="6"/>
  <c r="H202" i="6"/>
  <c r="H203" i="5"/>
  <c r="J203" i="6" s="1"/>
  <c r="K203" i="6" s="1"/>
  <c r="E205" i="5" l="1"/>
  <c r="G204" i="6"/>
  <c r="L203" i="6"/>
  <c r="H203" i="6"/>
  <c r="H204" i="5"/>
  <c r="J204" i="6" s="1"/>
  <c r="K204" i="6" s="1"/>
  <c r="E206" i="5" l="1"/>
  <c r="G205" i="6"/>
  <c r="L204" i="6"/>
  <c r="H204" i="6"/>
  <c r="H205" i="5"/>
  <c r="J205" i="6" s="1"/>
  <c r="K205" i="6" s="1"/>
  <c r="E207" i="5" l="1"/>
  <c r="G206" i="6"/>
  <c r="L205" i="6"/>
  <c r="H205" i="6"/>
  <c r="H206" i="5"/>
  <c r="J206" i="6" s="1"/>
  <c r="K206" i="6" s="1"/>
  <c r="E208" i="5" l="1"/>
  <c r="G207" i="6"/>
  <c r="L206" i="6"/>
  <c r="H206" i="6"/>
  <c r="H207" i="5"/>
  <c r="J207" i="6" s="1"/>
  <c r="K207" i="6" s="1"/>
  <c r="G208" i="6" l="1"/>
  <c r="E209" i="5"/>
  <c r="L207" i="6"/>
  <c r="H207" i="6"/>
  <c r="H208" i="5"/>
  <c r="J208" i="6" s="1"/>
  <c r="K208" i="6" s="1"/>
  <c r="E210" i="5" l="1"/>
  <c r="G209" i="6"/>
  <c r="L208" i="6"/>
  <c r="H208" i="6"/>
  <c r="H209" i="5"/>
  <c r="J209" i="6" s="1"/>
  <c r="K209" i="6" s="1"/>
  <c r="G210" i="6" l="1"/>
  <c r="E211" i="5"/>
  <c r="L209" i="6"/>
  <c r="H209" i="6"/>
  <c r="H210" i="5"/>
  <c r="J210" i="6" s="1"/>
  <c r="K210" i="6" s="1"/>
  <c r="G211" i="6" l="1"/>
  <c r="E212" i="5"/>
  <c r="L210" i="6"/>
  <c r="H210" i="6"/>
  <c r="H211" i="5"/>
  <c r="J211" i="6" s="1"/>
  <c r="K211" i="6" s="1"/>
  <c r="G212" i="6" l="1"/>
  <c r="E213" i="5"/>
  <c r="L211" i="6"/>
  <c r="H211" i="6"/>
  <c r="H212" i="5"/>
  <c r="J212" i="6" s="1"/>
  <c r="K212" i="6" s="1"/>
  <c r="E214" i="5" l="1"/>
  <c r="G213" i="6"/>
  <c r="L212" i="6"/>
  <c r="H212" i="6"/>
  <c r="H213" i="5"/>
  <c r="J213" i="6" s="1"/>
  <c r="K213" i="6" s="1"/>
  <c r="E215" i="5" l="1"/>
  <c r="G214" i="6"/>
  <c r="L213" i="6"/>
  <c r="H213" i="6"/>
  <c r="H214" i="5"/>
  <c r="J214" i="6" s="1"/>
  <c r="K214" i="6" s="1"/>
  <c r="E216" i="5" l="1"/>
  <c r="G215" i="6"/>
  <c r="L214" i="6"/>
  <c r="H214" i="6"/>
  <c r="H215" i="5"/>
  <c r="J215" i="6" s="1"/>
  <c r="K215" i="6" s="1"/>
  <c r="E217" i="5" l="1"/>
  <c r="G216" i="6"/>
  <c r="L215" i="6"/>
  <c r="H215" i="6"/>
  <c r="H216" i="5"/>
  <c r="J216" i="6" s="1"/>
  <c r="K216" i="6" s="1"/>
  <c r="E218" i="5" l="1"/>
  <c r="G217" i="6"/>
  <c r="L216" i="6"/>
  <c r="H216" i="6"/>
  <c r="H217" i="5"/>
  <c r="J217" i="6" s="1"/>
  <c r="K217" i="6" s="1"/>
  <c r="E219" i="5" l="1"/>
  <c r="G218" i="6"/>
  <c r="L217" i="6"/>
  <c r="H217" i="6"/>
  <c r="H218" i="5"/>
  <c r="J218" i="6" s="1"/>
  <c r="K218" i="6" s="1"/>
  <c r="G219" i="6" l="1"/>
  <c r="E220" i="5"/>
  <c r="L218" i="6"/>
  <c r="H218" i="6"/>
  <c r="H219" i="5"/>
  <c r="J219" i="6" s="1"/>
  <c r="K219" i="6" s="1"/>
  <c r="G220" i="6" l="1"/>
  <c r="E221" i="5"/>
  <c r="L219" i="6"/>
  <c r="H219" i="6"/>
  <c r="H220" i="5"/>
  <c r="J220" i="6" s="1"/>
  <c r="K220" i="6" s="1"/>
  <c r="G221" i="6" l="1"/>
  <c r="E222" i="5"/>
  <c r="L220" i="6"/>
  <c r="H220" i="6"/>
  <c r="H221" i="5"/>
  <c r="J221" i="6" s="1"/>
  <c r="K221" i="6" s="1"/>
  <c r="G222" i="6" l="1"/>
  <c r="E223" i="5"/>
  <c r="L221" i="6"/>
  <c r="H221" i="6"/>
  <c r="H222" i="5"/>
  <c r="J222" i="6" s="1"/>
  <c r="K222" i="6" s="1"/>
  <c r="E224" i="5" l="1"/>
  <c r="G223" i="6"/>
  <c r="L222" i="6"/>
  <c r="H222" i="6"/>
  <c r="H223" i="5"/>
  <c r="J223" i="6" s="1"/>
  <c r="K223" i="6" s="1"/>
  <c r="G224" i="6" l="1"/>
  <c r="E225" i="5"/>
  <c r="L223" i="6"/>
  <c r="H223" i="6"/>
  <c r="H224" i="5"/>
  <c r="J224" i="6" s="1"/>
  <c r="K224" i="6" s="1"/>
  <c r="E226" i="5" l="1"/>
  <c r="G225" i="6"/>
  <c r="L224" i="6"/>
  <c r="H224" i="6"/>
  <c r="H225" i="5"/>
  <c r="J225" i="6" s="1"/>
  <c r="K225" i="6" s="1"/>
  <c r="G226" i="6" l="1"/>
  <c r="E227" i="5"/>
  <c r="L225" i="6"/>
  <c r="H225" i="6"/>
  <c r="H226" i="5"/>
  <c r="J226" i="6" s="1"/>
  <c r="K226" i="6" s="1"/>
  <c r="E228" i="5" l="1"/>
  <c r="G227" i="6"/>
  <c r="L226" i="6"/>
  <c r="H226" i="6"/>
  <c r="H227" i="5"/>
  <c r="J227" i="6" s="1"/>
  <c r="K227" i="6" s="1"/>
  <c r="E229" i="5" l="1"/>
  <c r="G228" i="6"/>
  <c r="L227" i="6"/>
  <c r="H227" i="6"/>
  <c r="H228" i="5"/>
  <c r="J228" i="6" s="1"/>
  <c r="K228" i="6" s="1"/>
  <c r="E230" i="5" l="1"/>
  <c r="G229" i="6"/>
  <c r="L228" i="6"/>
  <c r="H228" i="6"/>
  <c r="H229" i="5"/>
  <c r="J229" i="6" s="1"/>
  <c r="K229" i="6" s="1"/>
  <c r="E231" i="5" l="1"/>
  <c r="G230" i="6"/>
  <c r="L229" i="6"/>
  <c r="H229" i="6"/>
  <c r="H230" i="5"/>
  <c r="J230" i="6" s="1"/>
  <c r="K230" i="6" s="1"/>
  <c r="G231" i="6" l="1"/>
  <c r="E232" i="5"/>
  <c r="L230" i="6"/>
  <c r="H230" i="6"/>
  <c r="H231" i="5"/>
  <c r="J231" i="6" s="1"/>
  <c r="K231" i="6" s="1"/>
  <c r="E233" i="5" l="1"/>
  <c r="G232" i="6"/>
  <c r="L231" i="6"/>
  <c r="H231" i="6"/>
  <c r="H232" i="5"/>
  <c r="J232" i="6" s="1"/>
  <c r="K232" i="6" s="1"/>
  <c r="E234" i="5" l="1"/>
  <c r="G233" i="6"/>
  <c r="L232" i="6"/>
  <c r="H232" i="6"/>
  <c r="H233" i="5"/>
  <c r="J233" i="6" s="1"/>
  <c r="K233" i="6" s="1"/>
  <c r="E235" i="5" l="1"/>
  <c r="G234" i="6"/>
  <c r="L233" i="6"/>
  <c r="H233" i="6"/>
  <c r="H234" i="5"/>
  <c r="J234" i="6" s="1"/>
  <c r="K234" i="6" s="1"/>
  <c r="G235" i="6" l="1"/>
  <c r="E236" i="5"/>
  <c r="L234" i="6"/>
  <c r="H234" i="6"/>
  <c r="H235" i="5"/>
  <c r="J235" i="6" s="1"/>
  <c r="K235" i="6" s="1"/>
  <c r="E237" i="5" l="1"/>
  <c r="G236" i="6"/>
  <c r="L235" i="6"/>
  <c r="H235" i="6"/>
  <c r="H236" i="5"/>
  <c r="J236" i="6" s="1"/>
  <c r="K236" i="6" s="1"/>
  <c r="E238" i="5" l="1"/>
  <c r="G237" i="6"/>
  <c r="L236" i="6"/>
  <c r="H236" i="6"/>
  <c r="H237" i="5"/>
  <c r="J237" i="6" s="1"/>
  <c r="K237" i="6" s="1"/>
  <c r="E239" i="5" l="1"/>
  <c r="G238" i="6"/>
  <c r="L237" i="6"/>
  <c r="H237" i="6"/>
  <c r="H238" i="5"/>
  <c r="J238" i="6" s="1"/>
  <c r="K238" i="6" s="1"/>
  <c r="E240" i="5" l="1"/>
  <c r="G239" i="6"/>
  <c r="L238" i="6"/>
  <c r="H238" i="6"/>
  <c r="H239" i="5"/>
  <c r="J239" i="6" s="1"/>
  <c r="K239" i="6" s="1"/>
  <c r="G240" i="6" l="1"/>
  <c r="E241" i="5"/>
  <c r="L239" i="6"/>
  <c r="H239" i="6"/>
  <c r="H240" i="5"/>
  <c r="J240" i="6" s="1"/>
  <c r="K240" i="6" s="1"/>
  <c r="E242" i="5" l="1"/>
  <c r="G241" i="6"/>
  <c r="L240" i="6"/>
  <c r="H240" i="6"/>
  <c r="H241" i="5"/>
  <c r="J241" i="6" s="1"/>
  <c r="K241" i="6" s="1"/>
  <c r="E243" i="5" l="1"/>
  <c r="G242" i="6"/>
  <c r="L241" i="6"/>
  <c r="H241" i="6"/>
  <c r="H242" i="5"/>
  <c r="J242" i="6" s="1"/>
  <c r="K242" i="6" s="1"/>
  <c r="E244" i="5" l="1"/>
  <c r="G243" i="6"/>
  <c r="L242" i="6"/>
  <c r="H242" i="6"/>
  <c r="H243" i="5"/>
  <c r="J243" i="6" s="1"/>
  <c r="K243" i="6" s="1"/>
  <c r="E245" i="5" l="1"/>
  <c r="G244" i="6"/>
  <c r="L243" i="6"/>
  <c r="H243" i="6"/>
  <c r="H244" i="5"/>
  <c r="J244" i="6" s="1"/>
  <c r="K244" i="6" s="1"/>
  <c r="G245" i="6" l="1"/>
  <c r="E246" i="5"/>
  <c r="L244" i="6"/>
  <c r="H244" i="6"/>
  <c r="H245" i="5"/>
  <c r="J245" i="6" s="1"/>
  <c r="K245" i="6" s="1"/>
  <c r="E247" i="5" l="1"/>
  <c r="G246" i="6"/>
  <c r="L245" i="6"/>
  <c r="H245" i="6"/>
  <c r="H246" i="5"/>
  <c r="J246" i="6" s="1"/>
  <c r="K246" i="6" s="1"/>
  <c r="G247" i="6" l="1"/>
  <c r="E248" i="5"/>
  <c r="L246" i="6"/>
  <c r="H246" i="6"/>
  <c r="H247" i="5"/>
  <c r="J247" i="6" s="1"/>
  <c r="K247" i="6" s="1"/>
  <c r="E249" i="5" l="1"/>
  <c r="G248" i="6"/>
  <c r="L247" i="6"/>
  <c r="H247" i="6"/>
  <c r="H248" i="5"/>
  <c r="J248" i="6" s="1"/>
  <c r="K248" i="6" s="1"/>
  <c r="E250" i="5" l="1"/>
  <c r="G249" i="6"/>
  <c r="L248" i="6"/>
  <c r="H248" i="6"/>
  <c r="H249" i="5"/>
  <c r="J249" i="6" s="1"/>
  <c r="K249" i="6" s="1"/>
  <c r="G250" i="6" l="1"/>
  <c r="E251" i="5"/>
  <c r="L249" i="6"/>
  <c r="H249" i="6"/>
  <c r="H250" i="5"/>
  <c r="J250" i="6" s="1"/>
  <c r="K250" i="6" s="1"/>
  <c r="E252" i="5" l="1"/>
  <c r="G251" i="6"/>
  <c r="L250" i="6"/>
  <c r="H250" i="6"/>
  <c r="H251" i="5"/>
  <c r="J251" i="6" s="1"/>
  <c r="K251" i="6" s="1"/>
  <c r="G252" i="6" l="1"/>
  <c r="E253" i="5"/>
  <c r="L251" i="6"/>
  <c r="H251" i="6"/>
  <c r="H252" i="5"/>
  <c r="J252" i="6" s="1"/>
  <c r="K252" i="6" s="1"/>
  <c r="G253" i="6" l="1"/>
  <c r="E254" i="5"/>
  <c r="L252" i="6"/>
  <c r="H252" i="6"/>
  <c r="H253" i="5"/>
  <c r="J253" i="6" s="1"/>
  <c r="K253" i="6" s="1"/>
  <c r="E255" i="5" l="1"/>
  <c r="G255" i="6" s="1"/>
  <c r="G254" i="6"/>
  <c r="L253" i="6"/>
  <c r="H253" i="6"/>
  <c r="H254" i="5"/>
  <c r="J254" i="6" s="1"/>
  <c r="K254" i="6" s="1"/>
  <c r="L254" i="6" l="1"/>
  <c r="H254" i="6"/>
  <c r="H255" i="5"/>
  <c r="H255" i="6" l="1"/>
  <c r="J255" i="6"/>
  <c r="K255" i="6" s="1"/>
  <c r="L255" i="6" l="1"/>
  <c r="F20" i="7"/>
  <c r="N11" i="9" l="1"/>
  <c r="O11" i="9" s="1"/>
  <c r="N12" i="9"/>
  <c r="O12" i="9" s="1"/>
  <c r="N13" i="9"/>
  <c r="O13" i="9" s="1"/>
  <c r="N10" i="9"/>
  <c r="O10" i="9" s="1"/>
  <c r="D27" i="9"/>
  <c r="F27" i="9" s="1"/>
  <c r="H27" i="9" s="1"/>
  <c r="D25" i="9"/>
  <c r="F25" i="9" s="1"/>
  <c r="H25" i="9" s="1"/>
  <c r="D26" i="9"/>
  <c r="F26" i="9" s="1"/>
  <c r="H26" i="9" s="1"/>
  <c r="F21" i="7"/>
  <c r="N18" i="8" l="1"/>
  <c r="N19" i="8" s="1"/>
  <c r="R8" i="10"/>
</calcChain>
</file>

<file path=xl/sharedStrings.xml><?xml version="1.0" encoding="utf-8"?>
<sst xmlns="http://schemas.openxmlformats.org/spreadsheetml/2006/main" count="128" uniqueCount="88">
  <si>
    <t xml:space="preserve">Collateral and margining Simulation </t>
  </si>
  <si>
    <t xml:space="preserve">The objective of this project is to better understand the counterparty risk, variation margin initial margin and liquidity stress in OTC Derivatives </t>
  </si>
  <si>
    <t>Category</t>
  </si>
  <si>
    <t>Input</t>
  </si>
  <si>
    <t>Value</t>
  </si>
  <si>
    <t>Unit / Description</t>
  </si>
  <si>
    <t>Market</t>
  </si>
  <si>
    <t>Initial underlying price</t>
  </si>
  <si>
    <t>Starting price of the underlying asset</t>
  </si>
  <si>
    <t>Annual volatility</t>
  </si>
  <si>
    <t>Expected annual volatility of the underlying</t>
  </si>
  <si>
    <t>Annual drift</t>
  </si>
  <si>
    <t>Expected annual return, kept simple for now</t>
  </si>
  <si>
    <t>Trading days per year</t>
  </si>
  <si>
    <t>Standard number of trading days</t>
  </si>
  <si>
    <t>Simulation</t>
  </si>
  <si>
    <t>Number of simulation days</t>
  </si>
  <si>
    <t>One trading year</t>
  </si>
  <si>
    <t>Derivative</t>
  </si>
  <si>
    <t>Derivative type</t>
  </si>
  <si>
    <t>Long Forward</t>
  </si>
  <si>
    <t>Simplified OTC derivative position</t>
  </si>
  <si>
    <t>Notional</t>
  </si>
  <si>
    <t>Size of the derivative exposure</t>
  </si>
  <si>
    <t>Forward strike</t>
  </si>
  <si>
    <t>Contract price agreed at inception</t>
  </si>
  <si>
    <t>Margining</t>
  </si>
  <si>
    <t>Variation margin frequency</t>
  </si>
  <si>
    <t>Daily</t>
  </si>
  <si>
    <t>Margin exchanged every day</t>
  </si>
  <si>
    <t>Initial margin confidence level</t>
  </si>
  <si>
    <t>Confidence level used for IM</t>
  </si>
  <si>
    <t>Margin Period of Risk</t>
  </si>
  <si>
    <t>Days between default and close-out</t>
  </si>
  <si>
    <t>Initial margin method</t>
  </si>
  <si>
    <t>Parametric VaR</t>
  </si>
  <si>
    <t>Simple method for first version</t>
  </si>
  <si>
    <t>Default</t>
  </si>
  <si>
    <t>Default day</t>
  </si>
  <si>
    <t>Day on which counterparty defaults</t>
  </si>
  <si>
    <t>Stress</t>
  </si>
  <si>
    <t>Stress volatility multiplier</t>
  </si>
  <si>
    <t>2.0</t>
  </si>
  <si>
    <t>Used later to show liquidity stress</t>
  </si>
  <si>
    <t>Underlying Asset Simulation</t>
  </si>
  <si>
    <t>Day</t>
  </si>
  <si>
    <t>Random Shock</t>
  </si>
  <si>
    <t>Daily Return</t>
  </si>
  <si>
    <t>Underlying Price</t>
  </si>
  <si>
    <t>Mark-to-Market and Variation Margin</t>
  </si>
  <si>
    <t>Forward Strike</t>
  </si>
  <si>
    <t>Mark-to-Market</t>
  </si>
  <si>
    <t>Variation Margin</t>
  </si>
  <si>
    <t>Cumulative VM</t>
  </si>
  <si>
    <t>Initial Margin Calculation</t>
  </si>
  <si>
    <t>Description</t>
  </si>
  <si>
    <t>Confidence Level</t>
  </si>
  <si>
    <t>Confidence level used for the margin calculation</t>
  </si>
  <si>
    <t>Z-score</t>
  </si>
  <si>
    <t>Normal quantile corresponding to the confidence level</t>
  </si>
  <si>
    <t>MPoR</t>
  </si>
  <si>
    <t>Margin Period of Risk in days</t>
  </si>
  <si>
    <t>Daily MTM Volatility</t>
  </si>
  <si>
    <t>Standard deviation of daily MTM changes</t>
  </si>
  <si>
    <t>Initial Margin</t>
  </si>
  <si>
    <t>Estimated collateral buffer</t>
  </si>
  <si>
    <t>Confidence Level 99%</t>
  </si>
  <si>
    <t>MPoR 10</t>
  </si>
  <si>
    <t>Default Scenario Analysis</t>
  </si>
  <si>
    <t>Default Day</t>
  </si>
  <si>
    <t>Day on which the counterparty defaults</t>
  </si>
  <si>
    <t>Close-out Day</t>
  </si>
  <si>
    <t>Day on which the position is closed</t>
  </si>
  <si>
    <t>MTM at Default</t>
  </si>
  <si>
    <t>Mark-to-market value at default</t>
  </si>
  <si>
    <t>MTM at Close-out</t>
  </si>
  <si>
    <t>Mark-to-market value after the MPoR</t>
  </si>
  <si>
    <t>Loss during MPoR</t>
  </si>
  <si>
    <t>Additional exposure after default</t>
  </si>
  <si>
    <t>Collateral buffer calculated previously</t>
  </si>
  <si>
    <t>Uncovered Loss</t>
  </si>
  <si>
    <t>Loss not covered by initial margin</t>
  </si>
  <si>
    <t>MPoR Sensitivity</t>
  </si>
  <si>
    <t>Collateral and Margining Dashboard</t>
  </si>
  <si>
    <t>A visual summary of counterparty risk, variation margin, initial margin and default exposure in OTC derivatives</t>
  </si>
  <si>
    <t>Key Input</t>
  </si>
  <si>
    <t>Key Output</t>
  </si>
  <si>
    <t xml:space="preserve">Sensitivity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</si>
</sst>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7">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sz val="10"/>
      <color theme="1"/>
      <name val="Arial Unicode MS"/>
    </font>
    <font>
      <sz val="18"/>
      <color theme="0"/>
      <name val="Calibri / Aptos"/>
    </font>
    <font>
      <sz val="16"/>
      <color theme="0"/>
      <name val="Aptos Narrow"/>
      <family val="2"/>
      <scheme val="minor"/>
    </font>
  </fonts>
  <fills count="7">
    <fill>
      <patternFill patternType="none"/>
    </fill>
    <fill>
      <patternFill patternType="gray125"/>
    </fill>
    <fill>
      <patternFill patternType="solid">
        <fgColor rgb="FFF4F6F8"/>
        <bgColor indexed="64"/>
      </patternFill>
    </fill>
    <fill>
      <patternFill patternType="solid">
        <fgColor rgb="FFEEF3F7"/>
        <bgColor indexed="64"/>
      </patternFill>
    </fill>
    <fill>
      <patternFill patternType="solid">
        <fgColor rgb="FF0B2F4A"/>
        <bgColor indexed="64"/>
      </patternFill>
    </fill>
    <fill>
      <patternFill patternType="solid">
        <fgColor theme="3" tint="0.89999084444715716"/>
        <bgColor indexed="64"/>
      </patternFill>
    </fill>
    <fill>
      <patternFill patternType="solid">
        <fgColor theme="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3" tint="0.499984740745262"/>
      </left>
      <right/>
      <top style="medium">
        <color theme="3" tint="0.499984740745262"/>
      </top>
      <bottom/>
      <diagonal/>
    </border>
    <border>
      <left/>
      <right/>
      <top style="medium">
        <color theme="3" tint="0.499984740745262"/>
      </top>
      <bottom/>
      <diagonal/>
    </border>
    <border>
      <left/>
      <right style="medium">
        <color theme="3" tint="0.499984740745262"/>
      </right>
      <top style="medium">
        <color theme="3" tint="0.499984740745262"/>
      </top>
      <bottom/>
      <diagonal/>
    </border>
    <border>
      <left style="medium">
        <color theme="3" tint="0.499984740745262"/>
      </left>
      <right/>
      <top/>
      <bottom/>
      <diagonal/>
    </border>
    <border>
      <left/>
      <right style="medium">
        <color theme="3" tint="0.499984740745262"/>
      </right>
      <top/>
      <bottom/>
      <diagonal/>
    </border>
    <border>
      <left style="medium">
        <color theme="3" tint="0.499984740745262"/>
      </left>
      <right/>
      <top/>
      <bottom style="medium">
        <color theme="3" tint="0.499984740745262"/>
      </bottom>
      <diagonal/>
    </border>
    <border>
      <left/>
      <right/>
      <top/>
      <bottom style="medium">
        <color theme="3" tint="0.499984740745262"/>
      </bottom>
      <diagonal/>
    </border>
    <border>
      <left/>
      <right style="medium">
        <color theme="3" tint="0.499984740745262"/>
      </right>
      <top/>
      <bottom style="medium">
        <color theme="3" tint="0.499984740745262"/>
      </bottom>
      <diagonal/>
    </border>
  </borders>
  <cellStyleXfs count="2">
    <xf numFmtId="0" fontId="0" fillId="0" borderId="0"/>
    <xf numFmtId="44" fontId="1" fillId="0" borderId="0" applyFont="0" applyFill="0" applyBorder="0" applyAlignment="0" applyProtection="0"/>
  </cellStyleXfs>
  <cellXfs count="69">
    <xf numFmtId="0" fontId="0" fillId="0" borderId="0" xfId="0"/>
    <xf numFmtId="0" fontId="3" fillId="0" borderId="0" xfId="0" applyFont="1"/>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9" fontId="0" fillId="0" borderId="0" xfId="0" applyNumberFormat="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9" xfId="0" applyBorder="1"/>
    <xf numFmtId="0" fontId="0" fillId="0" borderId="7" xfId="0" applyBorder="1"/>
    <xf numFmtId="0" fontId="0" fillId="0" borderId="1" xfId="0" applyBorder="1"/>
    <xf numFmtId="0" fontId="0" fillId="0" borderId="0" xfId="0" applyAlignment="1">
      <alignment vertical="center"/>
    </xf>
    <xf numFmtId="0" fontId="0" fillId="0" borderId="0" xfId="0" applyAlignment="1">
      <alignment horizontal="center" vertical="center"/>
    </xf>
    <xf numFmtId="9" fontId="0" fillId="0" borderId="0" xfId="0" applyNumberFormat="1" applyAlignment="1">
      <alignment horizontal="center" vertical="center"/>
    </xf>
    <xf numFmtId="0" fontId="0" fillId="3" borderId="0" xfId="0" applyFill="1" applyAlignment="1">
      <alignment horizontal="center" vertical="center"/>
    </xf>
    <xf numFmtId="0" fontId="0" fillId="5" borderId="0" xfId="0" applyFill="1" applyAlignment="1">
      <alignment horizontal="center"/>
    </xf>
    <xf numFmtId="0" fontId="2" fillId="5" borderId="11" xfId="0" applyFont="1" applyFill="1" applyBorder="1" applyAlignment="1">
      <alignment vertical="center" wrapText="1"/>
    </xf>
    <xf numFmtId="0" fontId="2" fillId="5" borderId="12" xfId="0" applyFont="1" applyFill="1" applyBorder="1" applyAlignment="1">
      <alignment vertical="center" wrapText="1"/>
    </xf>
    <xf numFmtId="0" fontId="2" fillId="5" borderId="10" xfId="0" applyFont="1" applyFill="1" applyBorder="1" applyAlignment="1">
      <alignment vertical="center" wrapText="1"/>
    </xf>
    <xf numFmtId="0" fontId="0" fillId="5" borderId="13" xfId="0" applyFill="1" applyBorder="1" applyAlignment="1">
      <alignment vertical="center" wrapText="1"/>
    </xf>
    <xf numFmtId="0" fontId="0" fillId="5" borderId="0" xfId="0" applyFill="1" applyAlignment="1">
      <alignment vertical="center" wrapText="1"/>
    </xf>
    <xf numFmtId="0" fontId="0" fillId="5" borderId="0" xfId="0" applyFill="1" applyAlignment="1">
      <alignment vertical="center"/>
    </xf>
    <xf numFmtId="0" fontId="0" fillId="5" borderId="14" xfId="0" applyFill="1" applyBorder="1" applyAlignment="1">
      <alignment vertical="center"/>
    </xf>
    <xf numFmtId="9" fontId="0" fillId="5" borderId="0" xfId="0" applyNumberFormat="1" applyFill="1" applyAlignment="1">
      <alignment vertical="center"/>
    </xf>
    <xf numFmtId="9" fontId="0" fillId="5" borderId="14" xfId="0" applyNumberFormat="1" applyFill="1" applyBorder="1" applyAlignment="1">
      <alignment vertical="center"/>
    </xf>
    <xf numFmtId="0" fontId="0" fillId="2" borderId="0" xfId="0" applyFill="1"/>
    <xf numFmtId="0" fontId="0" fillId="0" borderId="2" xfId="0" applyBorder="1"/>
    <xf numFmtId="0" fontId="0" fillId="0" borderId="3" xfId="0" applyBorder="1"/>
    <xf numFmtId="0" fontId="0" fillId="0" borderId="8" xfId="0" applyBorder="1"/>
    <xf numFmtId="0" fontId="4" fillId="0" borderId="0" xfId="0" applyFont="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5" borderId="0" xfId="0" applyFill="1"/>
    <xf numFmtId="44" fontId="0" fillId="0" borderId="0" xfId="1" applyFont="1" applyAlignment="1">
      <alignment vertical="center"/>
    </xf>
    <xf numFmtId="44" fontId="4" fillId="0" borderId="0" xfId="1" applyFont="1" applyAlignment="1">
      <alignment vertical="center"/>
    </xf>
    <xf numFmtId="0" fontId="0" fillId="5" borderId="15" xfId="0" applyFill="1" applyBorder="1" applyAlignment="1">
      <alignment vertical="center" wrapText="1"/>
    </xf>
    <xf numFmtId="0" fontId="0" fillId="5" borderId="16" xfId="0" applyFill="1" applyBorder="1" applyAlignment="1">
      <alignment vertical="center" wrapText="1"/>
    </xf>
    <xf numFmtId="0" fontId="6" fillId="6" borderId="0" xfId="0" applyFont="1" applyFill="1" applyAlignment="1">
      <alignment horizontal="center" vertical="center"/>
    </xf>
    <xf numFmtId="44" fontId="0" fillId="5" borderId="16" xfId="0" applyNumberFormat="1" applyFill="1" applyBorder="1" applyAlignment="1">
      <alignment vertical="center"/>
    </xf>
    <xf numFmtId="44" fontId="0" fillId="5" borderId="17" xfId="0" applyNumberFormat="1" applyFill="1" applyBorder="1" applyAlignment="1">
      <alignment vertical="center"/>
    </xf>
    <xf numFmtId="44" fontId="0" fillId="5" borderId="0" xfId="1" applyFont="1" applyFill="1" applyBorder="1" applyAlignment="1">
      <alignment horizontal="center" vertical="center"/>
    </xf>
    <xf numFmtId="44" fontId="0" fillId="5" borderId="14" xfId="1" applyFont="1" applyFill="1" applyBorder="1" applyAlignment="1">
      <alignment horizontal="center" vertical="center"/>
    </xf>
    <xf numFmtId="44" fontId="0" fillId="5" borderId="0" xfId="0" applyNumberFormat="1" applyFill="1" applyAlignment="1">
      <alignment horizontal="center" vertical="center"/>
    </xf>
    <xf numFmtId="44" fontId="0" fillId="5" borderId="14" xfId="0" applyNumberFormat="1" applyFill="1" applyBorder="1" applyAlignment="1">
      <alignment horizontal="center" vertical="center"/>
    </xf>
    <xf numFmtId="0" fontId="0" fillId="5" borderId="13" xfId="0" applyFill="1" applyBorder="1" applyAlignment="1">
      <alignment horizontal="center" vertical="center" wrapText="1"/>
    </xf>
    <xf numFmtId="0" fontId="0" fillId="5" borderId="0" xfId="0" applyFill="1" applyAlignment="1">
      <alignment horizontal="center" vertical="center" wrapText="1"/>
    </xf>
    <xf numFmtId="0" fontId="0" fillId="5" borderId="16" xfId="0" applyFill="1" applyBorder="1" applyAlignment="1">
      <alignment vertical="center"/>
    </xf>
    <xf numFmtId="0" fontId="0" fillId="5" borderId="17" xfId="0" applyFill="1" applyBorder="1" applyAlignment="1">
      <alignment vertical="center"/>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0" fillId="5" borderId="0" xfId="0" applyFill="1" applyAlignment="1">
      <alignment horizontal="center" vertical="center"/>
    </xf>
    <xf numFmtId="0" fontId="0" fillId="5" borderId="14" xfId="0" applyFill="1" applyBorder="1" applyAlignment="1">
      <alignment horizontal="center" vertical="center"/>
    </xf>
    <xf numFmtId="0" fontId="5" fillId="4" borderId="0" xfId="0" applyFont="1" applyFill="1" applyAlignment="1">
      <alignment horizontal="center" vertical="center"/>
    </xf>
    <xf numFmtId="0" fontId="0" fillId="5" borderId="0" xfId="0" applyFill="1" applyAlignment="1">
      <alignment horizontal="center"/>
    </xf>
  </cellXfs>
  <cellStyles count="2">
    <cellStyle name="Currency" xfId="1" builtinId="4"/>
    <cellStyle name="Normal" xfId="0" builtinId="0"/>
  </cellStyles>
  <dxfs count="49">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13"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4F6F8"/>
      <color rgb="FF2F6B8A"/>
      <color rgb="FF4B5563"/>
      <color rgb="FFE5E7EB"/>
      <color rgb="FF0B2F4A"/>
      <color rgb="FFEEF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baseline="0">
                <a:solidFill>
                  <a:srgbClr val="0B2F4A"/>
                </a:solidFill>
              </a:rPr>
              <a:t>Underlying Price Path</a:t>
            </a:r>
            <a:endParaRPr lang="es-ES" sz="1100" b="1">
              <a:solidFill>
                <a:srgbClr val="0B2F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Simulation!$H$2</c:f>
              <c:strCache>
                <c:ptCount val="1"/>
                <c:pt idx="0">
                  <c:v>Underlying Price</c:v>
                </c:pt>
              </c:strCache>
            </c:strRef>
          </c:tx>
          <c:spPr>
            <a:ln w="25400" cap="rnd">
              <a:solidFill>
                <a:srgbClr val="2F6B8A"/>
              </a:solidFill>
              <a:round/>
            </a:ln>
            <a:effectLst/>
          </c:spPr>
          <c:marker>
            <c:symbol val="none"/>
          </c:marker>
          <c:cat>
            <c:numRef>
              <c:f>Simulation!$E$3:$E$255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Simulation!$H$3:$H$255</c:f>
              <c:numCache>
                <c:formatCode>General</c:formatCode>
                <c:ptCount val="253"/>
                <c:pt idx="0">
                  <c:v>100</c:v>
                </c:pt>
                <c:pt idx="1">
                  <c:v>99.569390642965018</c:v>
                </c:pt>
                <c:pt idx="2">
                  <c:v>101.62229935680563</c:v>
                </c:pt>
                <c:pt idx="3">
                  <c:v>98.840004116834905</c:v>
                </c:pt>
                <c:pt idx="4">
                  <c:v>99.252425090856832</c:v>
                </c:pt>
                <c:pt idx="5">
                  <c:v>97.623469327594165</c:v>
                </c:pt>
                <c:pt idx="6">
                  <c:v>97.218671138474093</c:v>
                </c:pt>
                <c:pt idx="7">
                  <c:v>97.23935014273313</c:v>
                </c:pt>
                <c:pt idx="8">
                  <c:v>96.393089972692863</c:v>
                </c:pt>
                <c:pt idx="9">
                  <c:v>94.923417135980799</c:v>
                </c:pt>
                <c:pt idx="10">
                  <c:v>93.942117093341182</c:v>
                </c:pt>
                <c:pt idx="11">
                  <c:v>92.982722647260516</c:v>
                </c:pt>
                <c:pt idx="12">
                  <c:v>95.06272647895382</c:v>
                </c:pt>
                <c:pt idx="13">
                  <c:v>96.133252941756695</c:v>
                </c:pt>
                <c:pt idx="14">
                  <c:v>96.905020690917553</c:v>
                </c:pt>
                <c:pt idx="15">
                  <c:v>95.71990548909794</c:v>
                </c:pt>
                <c:pt idx="16">
                  <c:v>96.613429722058683</c:v>
                </c:pt>
                <c:pt idx="17">
                  <c:v>94.516059522581813</c:v>
                </c:pt>
                <c:pt idx="18">
                  <c:v>96.088206222126374</c:v>
                </c:pt>
                <c:pt idx="19">
                  <c:v>98.20295463425019</c:v>
                </c:pt>
                <c:pt idx="20">
                  <c:v>99.299054280932367</c:v>
                </c:pt>
                <c:pt idx="21">
                  <c:v>103.66674208414645</c:v>
                </c:pt>
                <c:pt idx="22">
                  <c:v>102.23188373411297</c:v>
                </c:pt>
                <c:pt idx="23">
                  <c:v>101.84500757818472</c:v>
                </c:pt>
                <c:pt idx="24">
                  <c:v>101.70258864523414</c:v>
                </c:pt>
                <c:pt idx="25">
                  <c:v>102.29563457214404</c:v>
                </c:pt>
                <c:pt idx="26">
                  <c:v>100.69584682797608</c:v>
                </c:pt>
                <c:pt idx="27">
                  <c:v>101.87135728444667</c:v>
                </c:pt>
                <c:pt idx="28">
                  <c:v>100.88373012526151</c:v>
                </c:pt>
                <c:pt idx="29">
                  <c:v>102.80887484614493</c:v>
                </c:pt>
                <c:pt idx="30">
                  <c:v>100.55545580950702</c:v>
                </c:pt>
                <c:pt idx="31">
                  <c:v>99.870512785028723</c:v>
                </c:pt>
                <c:pt idx="32">
                  <c:v>103.28848971253423</c:v>
                </c:pt>
                <c:pt idx="33">
                  <c:v>103.13975117262962</c:v>
                </c:pt>
                <c:pt idx="34">
                  <c:v>105.20961183536714</c:v>
                </c:pt>
                <c:pt idx="35">
                  <c:v>107.70029140588296</c:v>
                </c:pt>
                <c:pt idx="36">
                  <c:v>108.778391721852</c:v>
                </c:pt>
                <c:pt idx="37">
                  <c:v>109.55012712374719</c:v>
                </c:pt>
                <c:pt idx="38">
                  <c:v>108.37503552325887</c:v>
                </c:pt>
                <c:pt idx="39">
                  <c:v>109.87421932085826</c:v>
                </c:pt>
                <c:pt idx="40">
                  <c:v>106.73105205905806</c:v>
                </c:pt>
                <c:pt idx="41">
                  <c:v>106.94265953217294</c:v>
                </c:pt>
                <c:pt idx="42">
                  <c:v>108.06533054966134</c:v>
                </c:pt>
                <c:pt idx="43">
                  <c:v>105.26620974091489</c:v>
                </c:pt>
                <c:pt idx="44">
                  <c:v>103.92223340344043</c:v>
                </c:pt>
                <c:pt idx="45">
                  <c:v>106.60248709564458</c:v>
                </c:pt>
                <c:pt idx="46">
                  <c:v>105.09007364349229</c:v>
                </c:pt>
                <c:pt idx="47">
                  <c:v>104.39891128131768</c:v>
                </c:pt>
                <c:pt idx="48">
                  <c:v>101.76954380399039</c:v>
                </c:pt>
                <c:pt idx="49">
                  <c:v>99.970657817396614</c:v>
                </c:pt>
                <c:pt idx="50">
                  <c:v>100.79052599184125</c:v>
                </c:pt>
                <c:pt idx="51">
                  <c:v>99.678886258015382</c:v>
                </c:pt>
                <c:pt idx="52">
                  <c:v>101.60825257022458</c:v>
                </c:pt>
                <c:pt idx="53">
                  <c:v>102.23671973869038</c:v>
                </c:pt>
                <c:pt idx="54">
                  <c:v>101.41542050899432</c:v>
                </c:pt>
                <c:pt idx="55">
                  <c:v>101.70019426059871</c:v>
                </c:pt>
                <c:pt idx="56">
                  <c:v>101.47133129956846</c:v>
                </c:pt>
                <c:pt idx="57">
                  <c:v>102.36721088538168</c:v>
                </c:pt>
                <c:pt idx="58">
                  <c:v>101.01849998057611</c:v>
                </c:pt>
                <c:pt idx="59">
                  <c:v>100.64072014733195</c:v>
                </c:pt>
                <c:pt idx="60">
                  <c:v>100.5499466090774</c:v>
                </c:pt>
                <c:pt idx="61">
                  <c:v>100.67590999320159</c:v>
                </c:pt>
                <c:pt idx="62">
                  <c:v>101.15677487214759</c:v>
                </c:pt>
                <c:pt idx="63">
                  <c:v>102.10337833450943</c:v>
                </c:pt>
                <c:pt idx="64">
                  <c:v>101.35335898953214</c:v>
                </c:pt>
                <c:pt idx="65">
                  <c:v>101.44762552016297</c:v>
                </c:pt>
                <c:pt idx="66">
                  <c:v>102.52529517613465</c:v>
                </c:pt>
                <c:pt idx="67">
                  <c:v>100.25247270175687</c:v>
                </c:pt>
                <c:pt idx="68">
                  <c:v>102.85218891025359</c:v>
                </c:pt>
                <c:pt idx="69">
                  <c:v>99.776166316770201</c:v>
                </c:pt>
                <c:pt idx="70">
                  <c:v>99.773020666188117</c:v>
                </c:pt>
                <c:pt idx="71">
                  <c:v>100.49947620768526</c:v>
                </c:pt>
                <c:pt idx="72">
                  <c:v>99.959369626382909</c:v>
                </c:pt>
                <c:pt idx="73">
                  <c:v>99.781943176789881</c:v>
                </c:pt>
                <c:pt idx="74">
                  <c:v>100.198668056269</c:v>
                </c:pt>
                <c:pt idx="75">
                  <c:v>99.260821585675899</c:v>
                </c:pt>
                <c:pt idx="76">
                  <c:v>99.648260648351524</c:v>
                </c:pt>
                <c:pt idx="77">
                  <c:v>99.043566454719539</c:v>
                </c:pt>
                <c:pt idx="78">
                  <c:v>99.047151404768968</c:v>
                </c:pt>
                <c:pt idx="79">
                  <c:v>98.488294861693575</c:v>
                </c:pt>
                <c:pt idx="80">
                  <c:v>97.129492284600744</c:v>
                </c:pt>
                <c:pt idx="81">
                  <c:v>95.628989981440526</c:v>
                </c:pt>
                <c:pt idx="82">
                  <c:v>96.912743361832256</c:v>
                </c:pt>
                <c:pt idx="83">
                  <c:v>98.774206890804862</c:v>
                </c:pt>
                <c:pt idx="84">
                  <c:v>100.16908966201896</c:v>
                </c:pt>
                <c:pt idx="85">
                  <c:v>100.92848782033367</c:v>
                </c:pt>
                <c:pt idx="86">
                  <c:v>99.71102297611634</c:v>
                </c:pt>
                <c:pt idx="87">
                  <c:v>99.437240390310293</c:v>
                </c:pt>
                <c:pt idx="88">
                  <c:v>99.065718281589028</c:v>
                </c:pt>
                <c:pt idx="89">
                  <c:v>98.333252751481382</c:v>
                </c:pt>
                <c:pt idx="90">
                  <c:v>98.582407306919364</c:v>
                </c:pt>
                <c:pt idx="91">
                  <c:v>98.050791146170951</c:v>
                </c:pt>
                <c:pt idx="92">
                  <c:v>96.758669556088805</c:v>
                </c:pt>
                <c:pt idx="93">
                  <c:v>95.809579893801967</c:v>
                </c:pt>
                <c:pt idx="94">
                  <c:v>96.307118386248405</c:v>
                </c:pt>
                <c:pt idx="95">
                  <c:v>95.948820312130024</c:v>
                </c:pt>
                <c:pt idx="96">
                  <c:v>96.562381363587761</c:v>
                </c:pt>
                <c:pt idx="97">
                  <c:v>94.548655463434685</c:v>
                </c:pt>
                <c:pt idx="98">
                  <c:v>95.006965752725989</c:v>
                </c:pt>
                <c:pt idx="99">
                  <c:v>98.538037071155514</c:v>
                </c:pt>
                <c:pt idx="100">
                  <c:v>99.76879264192047</c:v>
                </c:pt>
                <c:pt idx="101">
                  <c:v>101.04037684071746</c:v>
                </c:pt>
                <c:pt idx="102">
                  <c:v>100.29447568922772</c:v>
                </c:pt>
                <c:pt idx="103">
                  <c:v>97.782999718546677</c:v>
                </c:pt>
                <c:pt idx="104">
                  <c:v>98.933224986518596</c:v>
                </c:pt>
                <c:pt idx="105">
                  <c:v>100.7695579887382</c:v>
                </c:pt>
                <c:pt idx="106">
                  <c:v>99.708720652010015</c:v>
                </c:pt>
                <c:pt idx="107">
                  <c:v>99.211823435000241</c:v>
                </c:pt>
                <c:pt idx="108">
                  <c:v>97.628178339516808</c:v>
                </c:pt>
                <c:pt idx="109">
                  <c:v>97.269229672190136</c:v>
                </c:pt>
                <c:pt idx="110">
                  <c:v>98.129403506424978</c:v>
                </c:pt>
                <c:pt idx="111">
                  <c:v>99.454864598485415</c:v>
                </c:pt>
                <c:pt idx="112">
                  <c:v>100.35708278811994</c:v>
                </c:pt>
                <c:pt idx="113">
                  <c:v>100.31408720772278</c:v>
                </c:pt>
                <c:pt idx="114">
                  <c:v>99.362820686896683</c:v>
                </c:pt>
                <c:pt idx="115">
                  <c:v>98.838901703676342</c:v>
                </c:pt>
                <c:pt idx="116">
                  <c:v>98.022766014584391</c:v>
                </c:pt>
                <c:pt idx="117">
                  <c:v>98.689881380253112</c:v>
                </c:pt>
                <c:pt idx="118">
                  <c:v>96.49360045769059</c:v>
                </c:pt>
                <c:pt idx="119">
                  <c:v>94.695776805884165</c:v>
                </c:pt>
                <c:pt idx="120">
                  <c:v>94.079597094164555</c:v>
                </c:pt>
                <c:pt idx="121">
                  <c:v>92.001390289062527</c:v>
                </c:pt>
                <c:pt idx="122">
                  <c:v>91.735439832960182</c:v>
                </c:pt>
                <c:pt idx="123">
                  <c:v>93.078838001660614</c:v>
                </c:pt>
                <c:pt idx="124">
                  <c:v>94.207492190932683</c:v>
                </c:pt>
                <c:pt idx="125">
                  <c:v>93.009861902977875</c:v>
                </c:pt>
                <c:pt idx="126">
                  <c:v>91.077693734339135</c:v>
                </c:pt>
                <c:pt idx="127">
                  <c:v>91.186942820896704</c:v>
                </c:pt>
                <c:pt idx="128">
                  <c:v>90.931874646651096</c:v>
                </c:pt>
                <c:pt idx="129">
                  <c:v>90.84753097228338</c:v>
                </c:pt>
                <c:pt idx="130">
                  <c:v>91.165766517277902</c:v>
                </c:pt>
                <c:pt idx="131">
                  <c:v>91.316693871653072</c:v>
                </c:pt>
                <c:pt idx="132">
                  <c:v>91.606589191005398</c:v>
                </c:pt>
                <c:pt idx="133">
                  <c:v>91.092658851485794</c:v>
                </c:pt>
                <c:pt idx="134">
                  <c:v>92.578049489570361</c:v>
                </c:pt>
                <c:pt idx="135">
                  <c:v>92.828995442693227</c:v>
                </c:pt>
                <c:pt idx="136">
                  <c:v>89.989251163595739</c:v>
                </c:pt>
                <c:pt idx="137">
                  <c:v>89.24169126345501</c:v>
                </c:pt>
                <c:pt idx="138">
                  <c:v>89.958052306387387</c:v>
                </c:pt>
                <c:pt idx="139">
                  <c:v>92.341227660761874</c:v>
                </c:pt>
                <c:pt idx="140">
                  <c:v>91.136286907358254</c:v>
                </c:pt>
                <c:pt idx="141">
                  <c:v>91.794757317830772</c:v>
                </c:pt>
                <c:pt idx="142">
                  <c:v>90.745248675831803</c:v>
                </c:pt>
                <c:pt idx="143">
                  <c:v>89.390295475868683</c:v>
                </c:pt>
                <c:pt idx="144">
                  <c:v>88.079654954857418</c:v>
                </c:pt>
                <c:pt idx="145">
                  <c:v>87.980340423674917</c:v>
                </c:pt>
                <c:pt idx="146">
                  <c:v>88.456925999857887</c:v>
                </c:pt>
                <c:pt idx="147">
                  <c:v>88.812563860934347</c:v>
                </c:pt>
                <c:pt idx="148">
                  <c:v>89.106236288132138</c:v>
                </c:pt>
                <c:pt idx="149">
                  <c:v>88.36501308427637</c:v>
                </c:pt>
                <c:pt idx="150">
                  <c:v>88.832247759717305</c:v>
                </c:pt>
                <c:pt idx="151">
                  <c:v>89.5073663550573</c:v>
                </c:pt>
                <c:pt idx="152">
                  <c:v>87.99754988946404</c:v>
                </c:pt>
                <c:pt idx="153">
                  <c:v>88.756274543839609</c:v>
                </c:pt>
                <c:pt idx="154">
                  <c:v>91.230357087387461</c:v>
                </c:pt>
                <c:pt idx="155">
                  <c:v>92.087808456459072</c:v>
                </c:pt>
                <c:pt idx="156">
                  <c:v>91.946145145903927</c:v>
                </c:pt>
                <c:pt idx="157">
                  <c:v>91.198003359298099</c:v>
                </c:pt>
                <c:pt idx="158">
                  <c:v>90.336027242062372</c:v>
                </c:pt>
                <c:pt idx="159">
                  <c:v>89.654590465899517</c:v>
                </c:pt>
                <c:pt idx="160">
                  <c:v>88.620585244218134</c:v>
                </c:pt>
                <c:pt idx="161">
                  <c:v>88.819566866681669</c:v>
                </c:pt>
                <c:pt idx="162">
                  <c:v>89.162058475416956</c:v>
                </c:pt>
                <c:pt idx="163">
                  <c:v>87.857956728528208</c:v>
                </c:pt>
                <c:pt idx="164">
                  <c:v>87.185380233808345</c:v>
                </c:pt>
                <c:pt idx="165">
                  <c:v>88.627126776966648</c:v>
                </c:pt>
                <c:pt idx="166">
                  <c:v>88.604905445460886</c:v>
                </c:pt>
                <c:pt idx="167">
                  <c:v>88.588417567218372</c:v>
                </c:pt>
                <c:pt idx="168">
                  <c:v>86.047057156257281</c:v>
                </c:pt>
                <c:pt idx="169">
                  <c:v>86.067412340940365</c:v>
                </c:pt>
                <c:pt idx="170">
                  <c:v>84.317124784619764</c:v>
                </c:pt>
                <c:pt idx="171">
                  <c:v>85.037030387670569</c:v>
                </c:pt>
                <c:pt idx="172">
                  <c:v>84.177289379274882</c:v>
                </c:pt>
                <c:pt idx="173">
                  <c:v>86.134115761471051</c:v>
                </c:pt>
                <c:pt idx="174">
                  <c:v>87.029961157760525</c:v>
                </c:pt>
                <c:pt idx="175">
                  <c:v>87.713324262969024</c:v>
                </c:pt>
                <c:pt idx="176">
                  <c:v>86.222570800178858</c:v>
                </c:pt>
                <c:pt idx="177">
                  <c:v>86.617664785379176</c:v>
                </c:pt>
                <c:pt idx="178">
                  <c:v>84.94308989967962</c:v>
                </c:pt>
                <c:pt idx="179">
                  <c:v>84.599240957590482</c:v>
                </c:pt>
                <c:pt idx="180">
                  <c:v>83.706996019608198</c:v>
                </c:pt>
                <c:pt idx="181">
                  <c:v>81.706500769265389</c:v>
                </c:pt>
                <c:pt idx="182">
                  <c:v>81.426370541112334</c:v>
                </c:pt>
                <c:pt idx="183">
                  <c:v>79.928464614791636</c:v>
                </c:pt>
                <c:pt idx="184">
                  <c:v>78.901796818080484</c:v>
                </c:pt>
                <c:pt idx="185">
                  <c:v>79.011094226428042</c:v>
                </c:pt>
                <c:pt idx="186">
                  <c:v>79.047723642365128</c:v>
                </c:pt>
                <c:pt idx="187">
                  <c:v>78.804910003548642</c:v>
                </c:pt>
                <c:pt idx="188">
                  <c:v>80.253266009340194</c:v>
                </c:pt>
                <c:pt idx="189">
                  <c:v>78.935427616007757</c:v>
                </c:pt>
                <c:pt idx="190">
                  <c:v>81.837368015103579</c:v>
                </c:pt>
                <c:pt idx="191">
                  <c:v>80.96720768992239</c:v>
                </c:pt>
                <c:pt idx="192">
                  <c:v>81.127477272375629</c:v>
                </c:pt>
                <c:pt idx="193">
                  <c:v>81.257401869085413</c:v>
                </c:pt>
                <c:pt idx="194">
                  <c:v>81.148224571947281</c:v>
                </c:pt>
                <c:pt idx="195">
                  <c:v>81.566946673566932</c:v>
                </c:pt>
                <c:pt idx="196">
                  <c:v>82.105539508352464</c:v>
                </c:pt>
                <c:pt idx="197">
                  <c:v>83.123610331829255</c:v>
                </c:pt>
                <c:pt idx="198">
                  <c:v>82.009038962811402</c:v>
                </c:pt>
                <c:pt idx="199">
                  <c:v>81.801396968115668</c:v>
                </c:pt>
                <c:pt idx="200">
                  <c:v>81.389218708644336</c:v>
                </c:pt>
                <c:pt idx="201">
                  <c:v>80.933820505039805</c:v>
                </c:pt>
                <c:pt idx="202">
                  <c:v>79.199474152672892</c:v>
                </c:pt>
                <c:pt idx="203">
                  <c:v>78.683239541066186</c:v>
                </c:pt>
                <c:pt idx="204">
                  <c:v>76.759795954840982</c:v>
                </c:pt>
                <c:pt idx="205">
                  <c:v>78.120957199441662</c:v>
                </c:pt>
                <c:pt idx="206">
                  <c:v>76.757852171247904</c:v>
                </c:pt>
                <c:pt idx="207">
                  <c:v>77.495583044280039</c:v>
                </c:pt>
                <c:pt idx="208">
                  <c:v>77.750760748281991</c:v>
                </c:pt>
                <c:pt idx="209">
                  <c:v>77.343157031301999</c:v>
                </c:pt>
                <c:pt idx="210">
                  <c:v>76.99783642240287</c:v>
                </c:pt>
                <c:pt idx="211">
                  <c:v>77.380380674457257</c:v>
                </c:pt>
                <c:pt idx="212">
                  <c:v>77.151347613240731</c:v>
                </c:pt>
                <c:pt idx="213">
                  <c:v>78.192359406678648</c:v>
                </c:pt>
                <c:pt idx="214">
                  <c:v>78.110993633910354</c:v>
                </c:pt>
                <c:pt idx="215">
                  <c:v>78.522694110931738</c:v>
                </c:pt>
                <c:pt idx="216">
                  <c:v>80.922469022368716</c:v>
                </c:pt>
                <c:pt idx="217">
                  <c:v>81.203936184267789</c:v>
                </c:pt>
                <c:pt idx="218">
                  <c:v>81.043924698566201</c:v>
                </c:pt>
                <c:pt idx="219">
                  <c:v>81.948357281858463</c:v>
                </c:pt>
                <c:pt idx="220">
                  <c:v>80.617538485381786</c:v>
                </c:pt>
                <c:pt idx="221">
                  <c:v>82.293606476539338</c:v>
                </c:pt>
                <c:pt idx="222">
                  <c:v>81.400599549709682</c:v>
                </c:pt>
                <c:pt idx="223">
                  <c:v>80.28677923998346</c:v>
                </c:pt>
                <c:pt idx="224">
                  <c:v>82.148634295747755</c:v>
                </c:pt>
                <c:pt idx="225">
                  <c:v>80.888550395341412</c:v>
                </c:pt>
                <c:pt idx="226">
                  <c:v>79.275262587089827</c:v>
                </c:pt>
                <c:pt idx="227">
                  <c:v>79.120638836515965</c:v>
                </c:pt>
                <c:pt idx="228">
                  <c:v>77.036350069393038</c:v>
                </c:pt>
                <c:pt idx="229">
                  <c:v>78.336823595479956</c:v>
                </c:pt>
                <c:pt idx="230">
                  <c:v>79.257839415323474</c:v>
                </c:pt>
                <c:pt idx="231">
                  <c:v>79.335964718359534</c:v>
                </c:pt>
                <c:pt idx="232">
                  <c:v>78.970924223881823</c:v>
                </c:pt>
                <c:pt idx="233">
                  <c:v>79.175066341564388</c:v>
                </c:pt>
                <c:pt idx="234">
                  <c:v>79.420800310689472</c:v>
                </c:pt>
                <c:pt idx="235">
                  <c:v>79.497069193375651</c:v>
                </c:pt>
                <c:pt idx="236">
                  <c:v>81.390078359964875</c:v>
                </c:pt>
                <c:pt idx="237">
                  <c:v>81.406409662053804</c:v>
                </c:pt>
                <c:pt idx="238">
                  <c:v>80.987404147330764</c:v>
                </c:pt>
                <c:pt idx="239">
                  <c:v>81.316147464342563</c:v>
                </c:pt>
                <c:pt idx="240">
                  <c:v>80.881426315031575</c:v>
                </c:pt>
                <c:pt idx="241">
                  <c:v>80.07120511983004</c:v>
                </c:pt>
                <c:pt idx="242">
                  <c:v>79.661264710430459</c:v>
                </c:pt>
                <c:pt idx="243">
                  <c:v>80.133529551175243</c:v>
                </c:pt>
                <c:pt idx="244">
                  <c:v>78.807196512740788</c:v>
                </c:pt>
                <c:pt idx="245">
                  <c:v>78.381862099070091</c:v>
                </c:pt>
                <c:pt idx="246">
                  <c:v>80.25910384799424</c:v>
                </c:pt>
                <c:pt idx="247">
                  <c:v>81.825371027148861</c:v>
                </c:pt>
                <c:pt idx="248">
                  <c:v>81.651021013434487</c:v>
                </c:pt>
                <c:pt idx="249">
                  <c:v>82.471554403460146</c:v>
                </c:pt>
                <c:pt idx="250">
                  <c:v>82.860315145832743</c:v>
                </c:pt>
                <c:pt idx="251">
                  <c:v>83.959242335445666</c:v>
                </c:pt>
                <c:pt idx="252">
                  <c:v>83.854403894419036</c:v>
                </c:pt>
              </c:numCache>
            </c:numRef>
          </c:val>
          <c:smooth val="0"/>
          <c:extLst>
            <c:ext xmlns:c16="http://schemas.microsoft.com/office/drawing/2014/chart" uri="{C3380CC4-5D6E-409C-BE32-E72D297353CC}">
              <c16:uniqueId val="{00000000-3B0B-46C7-9C7A-DD1ABBF9DC04}"/>
            </c:ext>
          </c:extLst>
        </c:ser>
        <c:dLbls>
          <c:showLegendKey val="0"/>
          <c:showVal val="0"/>
          <c:showCatName val="0"/>
          <c:showSerName val="0"/>
          <c:showPercent val="0"/>
          <c:showBubbleSize val="0"/>
        </c:dLbls>
        <c:smooth val="0"/>
        <c:axId val="1780233488"/>
        <c:axId val="1192303856"/>
      </c:lineChart>
      <c:catAx>
        <c:axId val="17802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92303856"/>
        <c:crosses val="autoZero"/>
        <c:auto val="1"/>
        <c:lblAlgn val="ctr"/>
        <c:lblOffset val="100"/>
        <c:tickLblSkip val="50"/>
        <c:noMultiLvlLbl val="0"/>
      </c:catAx>
      <c:valAx>
        <c:axId val="1192303856"/>
        <c:scaling>
          <c:orientation val="minMax"/>
        </c:scaling>
        <c:delete val="0"/>
        <c:axPos val="l"/>
        <c:majorGridlines>
          <c:spPr>
            <a:ln w="6350" cap="flat" cmpd="sng" algn="ctr">
              <a:gradFill>
                <a:gsLst>
                  <a:gs pos="0">
                    <a:srgbClr val="E5E7E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80233488"/>
        <c:crosses val="autoZero"/>
        <c:crossBetween val="between"/>
      </c:valAx>
      <c:spPr>
        <a:no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Forward Mark-to-Market Over Time</a:t>
            </a:r>
            <a:endParaRPr lang="es-ES"/>
          </a:p>
        </c:rich>
      </c:tx>
      <c:layout>
        <c:manualLayout>
          <c:xMode val="edge"/>
          <c:yMode val="edge"/>
          <c:x val="0.273139500903175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'MTM and VM'!$J$2</c:f>
              <c:strCache>
                <c:ptCount val="1"/>
                <c:pt idx="0">
                  <c:v>Mark-to-Market</c:v>
                </c:pt>
              </c:strCache>
            </c:strRef>
          </c:tx>
          <c:spPr>
            <a:ln w="28575" cap="rnd">
              <a:solidFill>
                <a:schemeClr val="accent1"/>
              </a:solidFill>
              <a:round/>
            </a:ln>
            <a:effectLst/>
          </c:spPr>
          <c:marker>
            <c:symbol val="none"/>
          </c:marker>
          <c:cat>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'MTM and VM'!$J$3:$J$255</c:f>
              <c:numCache>
                <c:formatCode>General</c:formatCode>
                <c:ptCount val="253"/>
                <c:pt idx="0">
                  <c:v>0</c:v>
                </c:pt>
                <c:pt idx="1">
                  <c:v>-4306.0935703498162</c:v>
                </c:pt>
                <c:pt idx="2">
                  <c:v>16222.993568056267</c:v>
                </c:pt>
                <c:pt idx="3">
                  <c:v>-11599.958831650953</c:v>
                </c:pt>
                <c:pt idx="4">
                  <c:v>-7475.7490914316804</c:v>
                </c:pt>
                <c:pt idx="5">
                  <c:v>-23765.306724058348</c:v>
                </c:pt>
                <c:pt idx="6">
                  <c:v>-27813.288615259069</c:v>
                </c:pt>
                <c:pt idx="7">
                  <c:v>-27606.498572668697</c:v>
                </c:pt>
                <c:pt idx="8">
                  <c:v>-36069.100273071374</c:v>
                </c:pt>
                <c:pt idx="9">
                  <c:v>-50765.828640192012</c:v>
                </c:pt>
                <c:pt idx="10">
                  <c:v>-60578.829066588187</c:v>
                </c:pt>
                <c:pt idx="11">
                  <c:v>-70172.773527394849</c:v>
                </c:pt>
                <c:pt idx="12">
                  <c:v>-49372.735210461797</c:v>
                </c:pt>
                <c:pt idx="13">
                  <c:v>-38667.470582433052</c:v>
                </c:pt>
                <c:pt idx="14">
                  <c:v>-30949.793090824474</c:v>
                </c:pt>
                <c:pt idx="15">
                  <c:v>-42800.945109020606</c:v>
                </c:pt>
                <c:pt idx="16">
                  <c:v>-33865.702779413172</c:v>
                </c:pt>
                <c:pt idx="17">
                  <c:v>-54839.404774181872</c:v>
                </c:pt>
                <c:pt idx="18">
                  <c:v>-39117.937778736261</c:v>
                </c:pt>
                <c:pt idx="19">
                  <c:v>-17970.453657498099</c:v>
                </c:pt>
                <c:pt idx="20">
                  <c:v>-7009.4571906763294</c:v>
                </c:pt>
                <c:pt idx="21">
                  <c:v>36667.420841464489</c:v>
                </c:pt>
                <c:pt idx="22">
                  <c:v>22318.837341129696</c:v>
                </c:pt>
                <c:pt idx="23">
                  <c:v>18450.075781847205</c:v>
                </c:pt>
                <c:pt idx="24">
                  <c:v>17025.886452341438</c:v>
                </c:pt>
                <c:pt idx="25">
                  <c:v>22956.345721440386</c:v>
                </c:pt>
                <c:pt idx="26">
                  <c:v>6958.4682797608366</c:v>
                </c:pt>
                <c:pt idx="27">
                  <c:v>18713.57284446674</c:v>
                </c:pt>
                <c:pt idx="28">
                  <c:v>8837.3012526150778</c:v>
                </c:pt>
                <c:pt idx="29">
                  <c:v>28088.748461449311</c:v>
                </c:pt>
                <c:pt idx="30">
                  <c:v>5554.5580950702342</c:v>
                </c:pt>
                <c:pt idx="31">
                  <c:v>-1294.8721497127735</c:v>
                </c:pt>
                <c:pt idx="32">
                  <c:v>32884.897125342286</c:v>
                </c:pt>
                <c:pt idx="33">
                  <c:v>31397.511726296158</c:v>
                </c:pt>
                <c:pt idx="34">
                  <c:v>52096.118353671416</c:v>
                </c:pt>
                <c:pt idx="35">
                  <c:v>77002.914058829643</c:v>
                </c:pt>
                <c:pt idx="36">
                  <c:v>87783.91721852003</c:v>
                </c:pt>
                <c:pt idx="37">
                  <c:v>95501.271237471883</c:v>
                </c:pt>
                <c:pt idx="38">
                  <c:v>83750.355232588729</c:v>
                </c:pt>
                <c:pt idx="39">
                  <c:v>98742.193208582583</c:v>
                </c:pt>
                <c:pt idx="40">
                  <c:v>67310.520590580578</c:v>
                </c:pt>
                <c:pt idx="41">
                  <c:v>69426.595321729401</c:v>
                </c:pt>
                <c:pt idx="42">
                  <c:v>80653.305496613393</c:v>
                </c:pt>
                <c:pt idx="43">
                  <c:v>52662.09740914889</c:v>
                </c:pt>
                <c:pt idx="44">
                  <c:v>39222.334034404295</c:v>
                </c:pt>
                <c:pt idx="45">
                  <c:v>66024.870956445768</c:v>
                </c:pt>
                <c:pt idx="46">
                  <c:v>50900.736434922888</c:v>
                </c:pt>
                <c:pt idx="47">
                  <c:v>43989.112813176798</c:v>
                </c:pt>
                <c:pt idx="48">
                  <c:v>17695.438039903875</c:v>
                </c:pt>
                <c:pt idx="49">
                  <c:v>-293.42182603386391</c:v>
                </c:pt>
                <c:pt idx="50">
                  <c:v>7905.2599184124965</c:v>
                </c:pt>
                <c:pt idx="51">
                  <c:v>-3211.1374198461817</c:v>
                </c:pt>
                <c:pt idx="52">
                  <c:v>16082.52570224579</c:v>
                </c:pt>
                <c:pt idx="53">
                  <c:v>22367.197386903827</c:v>
                </c:pt>
                <c:pt idx="54">
                  <c:v>14154.205089943162</c:v>
                </c:pt>
                <c:pt idx="55">
                  <c:v>17001.942605987068</c:v>
                </c:pt>
                <c:pt idx="56">
                  <c:v>14713.312995684617</c:v>
                </c:pt>
                <c:pt idx="57">
                  <c:v>23672.108853816811</c:v>
                </c:pt>
                <c:pt idx="58">
                  <c:v>10184.999805761096</c:v>
                </c:pt>
                <c:pt idx="59">
                  <c:v>6407.2014733194756</c:v>
                </c:pt>
                <c:pt idx="60">
                  <c:v>5499.4660907739499</c:v>
                </c:pt>
                <c:pt idx="61">
                  <c:v>6759.0999320158571</c:v>
                </c:pt>
                <c:pt idx="62">
                  <c:v>11567.748721475937</c:v>
                </c:pt>
                <c:pt idx="63">
                  <c:v>21033.783345094293</c:v>
                </c:pt>
                <c:pt idx="64">
                  <c:v>13533.589895321398</c:v>
                </c:pt>
                <c:pt idx="65">
                  <c:v>14476.255201629727</c:v>
                </c:pt>
                <c:pt idx="66">
                  <c:v>25252.951761346481</c:v>
                </c:pt>
                <c:pt idx="67">
                  <c:v>2524.7270175687222</c:v>
                </c:pt>
                <c:pt idx="68">
                  <c:v>28521.889102535883</c:v>
                </c:pt>
                <c:pt idx="69">
                  <c:v>-2238.3368322979891</c:v>
                </c:pt>
                <c:pt idx="70">
                  <c:v>-2269.7933381188304</c:v>
                </c:pt>
                <c:pt idx="71">
                  <c:v>4994.762076852624</c:v>
                </c:pt>
                <c:pt idx="72">
                  <c:v>-406.30373617091209</c:v>
                </c:pt>
                <c:pt idx="73">
                  <c:v>-2180.5682321011946</c:v>
                </c:pt>
                <c:pt idx="74">
                  <c:v>1986.6805626899977</c:v>
                </c:pt>
                <c:pt idx="75">
                  <c:v>-7391.7841432410114</c:v>
                </c:pt>
                <c:pt idx="76">
                  <c:v>-3517.3935164847594</c:v>
                </c:pt>
                <c:pt idx="77">
                  <c:v>-9564.3354528046129</c:v>
                </c:pt>
                <c:pt idx="78">
                  <c:v>-9528.4859523103187</c:v>
                </c:pt>
                <c:pt idx="79">
                  <c:v>-15117.05138306425</c:v>
                </c:pt>
                <c:pt idx="80">
                  <c:v>-28705.077153992559</c:v>
                </c:pt>
                <c:pt idx="81">
                  <c:v>-43710.10018559474</c:v>
                </c:pt>
                <c:pt idx="82">
                  <c:v>-30872.566381677443</c:v>
                </c:pt>
                <c:pt idx="83">
                  <c:v>-12257.931091951377</c:v>
                </c:pt>
                <c:pt idx="84">
                  <c:v>1690.8966201896192</c:v>
                </c:pt>
                <c:pt idx="85">
                  <c:v>9284.878203336717</c:v>
                </c:pt>
                <c:pt idx="86">
                  <c:v>-2889.7702388366042</c:v>
                </c:pt>
                <c:pt idx="87">
                  <c:v>-5627.5960968970658</c:v>
                </c:pt>
                <c:pt idx="88">
                  <c:v>-9342.817184109721</c:v>
                </c:pt>
                <c:pt idx="89">
                  <c:v>-16667.472485186183</c:v>
                </c:pt>
                <c:pt idx="90">
                  <c:v>-14175.926930806356</c:v>
                </c:pt>
                <c:pt idx="91">
                  <c:v>-19492.088538290489</c:v>
                </c:pt>
                <c:pt idx="92">
                  <c:v>-32413.304439111951</c:v>
                </c:pt>
                <c:pt idx="93">
                  <c:v>-41904.201061980333</c:v>
                </c:pt>
                <c:pt idx="94">
                  <c:v>-36928.816137515954</c:v>
                </c:pt>
                <c:pt idx="95">
                  <c:v>-40511.796878699752</c:v>
                </c:pt>
                <c:pt idx="96">
                  <c:v>-34376.18636412239</c:v>
                </c:pt>
                <c:pt idx="97">
                  <c:v>-54513.445365653155</c:v>
                </c:pt>
                <c:pt idx="98">
                  <c:v>-49930.342472740107</c:v>
                </c:pt>
                <c:pt idx="99">
                  <c:v>-14619.629288444856</c:v>
                </c:pt>
                <c:pt idx="100">
                  <c:v>-2312.0735807952997</c:v>
                </c:pt>
                <c:pt idx="101">
                  <c:v>10403.768407174568</c:v>
                </c:pt>
                <c:pt idx="102">
                  <c:v>2944.7568922772407</c:v>
                </c:pt>
                <c:pt idx="103">
                  <c:v>-22170.002814533233</c:v>
                </c:pt>
                <c:pt idx="104">
                  <c:v>-10667.750134814041</c:v>
                </c:pt>
                <c:pt idx="105">
                  <c:v>7695.5798873819958</c:v>
                </c:pt>
                <c:pt idx="106">
                  <c:v>-2912.7934798998467</c:v>
                </c:pt>
                <c:pt idx="107">
                  <c:v>-7881.7656499975892</c:v>
                </c:pt>
                <c:pt idx="108">
                  <c:v>-23718.216604831923</c:v>
                </c:pt>
                <c:pt idx="109">
                  <c:v>-27307.703278098645</c:v>
                </c:pt>
                <c:pt idx="110">
                  <c:v>-18705.964935750217</c:v>
                </c:pt>
                <c:pt idx="111">
                  <c:v>-5451.3540151458528</c:v>
                </c:pt>
                <c:pt idx="112">
                  <c:v>3570.8278811993919</c:v>
                </c:pt>
                <c:pt idx="113">
                  <c:v>3140.8720772277829</c:v>
                </c:pt>
                <c:pt idx="114">
                  <c:v>-6371.7931310331714</c:v>
                </c:pt>
                <c:pt idx="115">
                  <c:v>-11610.98296323658</c:v>
                </c:pt>
                <c:pt idx="116">
                  <c:v>-19772.339854156085</c:v>
                </c:pt>
                <c:pt idx="117">
                  <c:v>-13101.186197468876</c:v>
                </c:pt>
                <c:pt idx="118">
                  <c:v>-35063.9954230941</c:v>
                </c:pt>
                <c:pt idx="119">
                  <c:v>-53042.231941158345</c:v>
                </c:pt>
                <c:pt idx="120">
                  <c:v>-59204.029058354448</c:v>
                </c:pt>
                <c:pt idx="121">
                  <c:v>-79986.097109374721</c:v>
                </c:pt>
                <c:pt idx="122">
                  <c:v>-82645.601670398188</c:v>
                </c:pt>
                <c:pt idx="123">
                  <c:v>-69211.619983393859</c:v>
                </c:pt>
                <c:pt idx="124">
                  <c:v>-57925.078090673167</c:v>
                </c:pt>
                <c:pt idx="125">
                  <c:v>-69901.380970221246</c:v>
                </c:pt>
                <c:pt idx="126">
                  <c:v>-89223.062656608643</c:v>
                </c:pt>
                <c:pt idx="127">
                  <c:v>-88130.571791032969</c:v>
                </c:pt>
                <c:pt idx="128">
                  <c:v>-90681.253533489042</c:v>
                </c:pt>
                <c:pt idx="129">
                  <c:v>-91524.690277166199</c:v>
                </c:pt>
                <c:pt idx="130">
                  <c:v>-88342.334827220984</c:v>
                </c:pt>
                <c:pt idx="131">
                  <c:v>-86833.061283469273</c:v>
                </c:pt>
                <c:pt idx="132">
                  <c:v>-83934.108089946021</c:v>
                </c:pt>
                <c:pt idx="133">
                  <c:v>-89073.41148514206</c:v>
                </c:pt>
                <c:pt idx="134">
                  <c:v>-74219.505104296375</c:v>
                </c:pt>
                <c:pt idx="135">
                  <c:v>-71710.045573067735</c:v>
                </c:pt>
                <c:pt idx="136">
                  <c:v>-100107.48836404261</c:v>
                </c:pt>
                <c:pt idx="137">
                  <c:v>-107583.0873654499</c:v>
                </c:pt>
                <c:pt idx="138">
                  <c:v>-100419.47693612613</c:v>
                </c:pt>
                <c:pt idx="139">
                  <c:v>-76587.72339238126</c:v>
                </c:pt>
                <c:pt idx="140">
                  <c:v>-88637.130926417449</c:v>
                </c:pt>
                <c:pt idx="141">
                  <c:v>-82052.426821692279</c:v>
                </c:pt>
                <c:pt idx="142">
                  <c:v>-92547.513241681969</c:v>
                </c:pt>
                <c:pt idx="143">
                  <c:v>-106097.04524131317</c:v>
                </c:pt>
                <c:pt idx="144">
                  <c:v>-119203.45045142583</c:v>
                </c:pt>
                <c:pt idx="145">
                  <c:v>-120196.59576325082</c:v>
                </c:pt>
                <c:pt idx="146">
                  <c:v>-115430.74000142113</c:v>
                </c:pt>
                <c:pt idx="147">
                  <c:v>-111874.36139065653</c:v>
                </c:pt>
                <c:pt idx="148">
                  <c:v>-108937.63711867863</c:v>
                </c:pt>
                <c:pt idx="149">
                  <c:v>-116349.8691572363</c:v>
                </c:pt>
                <c:pt idx="150">
                  <c:v>-111677.52240282696</c:v>
                </c:pt>
                <c:pt idx="151">
                  <c:v>-104926.33644942701</c:v>
                </c:pt>
                <c:pt idx="152">
                  <c:v>-120024.5011053596</c:v>
                </c:pt>
                <c:pt idx="153">
                  <c:v>-112437.2545616039</c:v>
                </c:pt>
                <c:pt idx="154">
                  <c:v>-87696.429126125397</c:v>
                </c:pt>
                <c:pt idx="155">
                  <c:v>-79121.915435409275</c:v>
                </c:pt>
                <c:pt idx="156">
                  <c:v>-80538.548540960735</c:v>
                </c:pt>
                <c:pt idx="157">
                  <c:v>-88019.966407019005</c:v>
                </c:pt>
                <c:pt idx="158">
                  <c:v>-96639.727579376282</c:v>
                </c:pt>
                <c:pt idx="159">
                  <c:v>-103454.09534100482</c:v>
                </c:pt>
                <c:pt idx="160">
                  <c:v>-113794.14755781867</c:v>
                </c:pt>
                <c:pt idx="161">
                  <c:v>-111804.33133318331</c:v>
                </c:pt>
                <c:pt idx="162">
                  <c:v>-108379.41524583045</c:v>
                </c:pt>
                <c:pt idx="163">
                  <c:v>-121420.43271471791</c:v>
                </c:pt>
                <c:pt idx="164">
                  <c:v>-128146.19766191654</c:v>
                </c:pt>
                <c:pt idx="165">
                  <c:v>-113728.73223033351</c:v>
                </c:pt>
                <c:pt idx="166">
                  <c:v>-113950.94554539114</c:v>
                </c:pt>
                <c:pt idx="167">
                  <c:v>-114115.82432781628</c:v>
                </c:pt>
                <c:pt idx="168">
                  <c:v>-139529.42843742718</c:v>
                </c:pt>
                <c:pt idx="169">
                  <c:v>-139325.87659059637</c:v>
                </c:pt>
                <c:pt idx="170">
                  <c:v>-156828.75215380234</c:v>
                </c:pt>
                <c:pt idx="171">
                  <c:v>-149629.6961232943</c:v>
                </c:pt>
                <c:pt idx="172">
                  <c:v>-158227.1062072512</c:v>
                </c:pt>
                <c:pt idx="173">
                  <c:v>-138658.84238528949</c:v>
                </c:pt>
                <c:pt idx="174">
                  <c:v>-129700.38842239475</c:v>
                </c:pt>
                <c:pt idx="175">
                  <c:v>-122866.75737030976</c:v>
                </c:pt>
                <c:pt idx="176">
                  <c:v>-137774.29199821141</c:v>
                </c:pt>
                <c:pt idx="177">
                  <c:v>-133823.35214620826</c:v>
                </c:pt>
                <c:pt idx="178">
                  <c:v>-150569.1010032038</c:v>
                </c:pt>
                <c:pt idx="179">
                  <c:v>-154007.59042409516</c:v>
                </c:pt>
                <c:pt idx="180">
                  <c:v>-162930.03980391801</c:v>
                </c:pt>
                <c:pt idx="181">
                  <c:v>-182934.99230734611</c:v>
                </c:pt>
                <c:pt idx="182">
                  <c:v>-185736.29458887666</c:v>
                </c:pt>
                <c:pt idx="183">
                  <c:v>-200715.35385208364</c:v>
                </c:pt>
                <c:pt idx="184">
                  <c:v>-210982.03181919517</c:v>
                </c:pt>
                <c:pt idx="185">
                  <c:v>-209889.05773571957</c:v>
                </c:pt>
                <c:pt idx="186">
                  <c:v>-209522.76357634872</c:v>
                </c:pt>
                <c:pt idx="187">
                  <c:v>-211950.89996451358</c:v>
                </c:pt>
                <c:pt idx="188">
                  <c:v>-197467.33990659806</c:v>
                </c:pt>
                <c:pt idx="189">
                  <c:v>-210645.72383992243</c:v>
                </c:pt>
                <c:pt idx="190">
                  <c:v>-181626.31984896422</c:v>
                </c:pt>
                <c:pt idx="191">
                  <c:v>-190327.9231007761</c:v>
                </c:pt>
                <c:pt idx="192">
                  <c:v>-188725.22727624371</c:v>
                </c:pt>
                <c:pt idx="193">
                  <c:v>-187425.98130914586</c:v>
                </c:pt>
                <c:pt idx="194">
                  <c:v>-188517.75428052718</c:v>
                </c:pt>
                <c:pt idx="195">
                  <c:v>-184330.53326433068</c:v>
                </c:pt>
                <c:pt idx="196">
                  <c:v>-178944.60491647533</c:v>
                </c:pt>
                <c:pt idx="197">
                  <c:v>-168763.89668170744</c:v>
                </c:pt>
                <c:pt idx="198">
                  <c:v>-179909.61037188597</c:v>
                </c:pt>
                <c:pt idx="199">
                  <c:v>-181986.03031884332</c:v>
                </c:pt>
                <c:pt idx="200">
                  <c:v>-186107.81291355664</c:v>
                </c:pt>
                <c:pt idx="201">
                  <c:v>-190661.79494960196</c:v>
                </c:pt>
                <c:pt idx="202">
                  <c:v>-208005.2584732711</c:v>
                </c:pt>
                <c:pt idx="203">
                  <c:v>-213167.60458933815</c:v>
                </c:pt>
                <c:pt idx="204">
                  <c:v>-232402.04045159018</c:v>
                </c:pt>
                <c:pt idx="205">
                  <c:v>-218790.42800558338</c:v>
                </c:pt>
                <c:pt idx="206">
                  <c:v>-232421.47828752096</c:v>
                </c:pt>
                <c:pt idx="207">
                  <c:v>-225044.16955719961</c:v>
                </c:pt>
                <c:pt idx="208">
                  <c:v>-222492.39251718009</c:v>
                </c:pt>
                <c:pt idx="209">
                  <c:v>-226568.42968698</c:v>
                </c:pt>
                <c:pt idx="210">
                  <c:v>-230021.63577597131</c:v>
                </c:pt>
                <c:pt idx="211">
                  <c:v>-226196.19325542741</c:v>
                </c:pt>
                <c:pt idx="212">
                  <c:v>-228486.52386759268</c:v>
                </c:pt>
                <c:pt idx="213">
                  <c:v>-218076.40593321354</c:v>
                </c:pt>
                <c:pt idx="214">
                  <c:v>-218890.06366089647</c:v>
                </c:pt>
                <c:pt idx="215">
                  <c:v>-214773.05889068262</c:v>
                </c:pt>
                <c:pt idx="216">
                  <c:v>-190775.30977631285</c:v>
                </c:pt>
                <c:pt idx="217">
                  <c:v>-187960.6381573221</c:v>
                </c:pt>
                <c:pt idx="218">
                  <c:v>-189560.753014338</c:v>
                </c:pt>
                <c:pt idx="219">
                  <c:v>-180516.42718141538</c:v>
                </c:pt>
                <c:pt idx="220">
                  <c:v>-193824.61514618213</c:v>
                </c:pt>
                <c:pt idx="221">
                  <c:v>-177063.93523460662</c:v>
                </c:pt>
                <c:pt idx="222">
                  <c:v>-185994.00450290318</c:v>
                </c:pt>
                <c:pt idx="223">
                  <c:v>-197132.20760016539</c:v>
                </c:pt>
                <c:pt idx="224">
                  <c:v>-178513.65704252245</c:v>
                </c:pt>
                <c:pt idx="225">
                  <c:v>-191114.4960465859</c:v>
                </c:pt>
                <c:pt idx="226">
                  <c:v>-207247.37412910175</c:v>
                </c:pt>
                <c:pt idx="227">
                  <c:v>-208793.61163484034</c:v>
                </c:pt>
                <c:pt idx="228">
                  <c:v>-229636.49930606963</c:v>
                </c:pt>
                <c:pt idx="229">
                  <c:v>-216631.76404520043</c:v>
                </c:pt>
                <c:pt idx="230">
                  <c:v>-207421.60584676525</c:v>
                </c:pt>
                <c:pt idx="231">
                  <c:v>-206640.35281640466</c:v>
                </c:pt>
                <c:pt idx="232">
                  <c:v>-210290.75776118177</c:v>
                </c:pt>
                <c:pt idx="233">
                  <c:v>-208249.33658435612</c:v>
                </c:pt>
                <c:pt idx="234">
                  <c:v>-205791.9968931053</c:v>
                </c:pt>
                <c:pt idx="235">
                  <c:v>-205029.30806624348</c:v>
                </c:pt>
                <c:pt idx="236">
                  <c:v>-186099.21640035126</c:v>
                </c:pt>
                <c:pt idx="237">
                  <c:v>-185935.90337946196</c:v>
                </c:pt>
                <c:pt idx="238">
                  <c:v>-190125.95852669238</c:v>
                </c:pt>
                <c:pt idx="239">
                  <c:v>-186838.52535657436</c:v>
                </c:pt>
                <c:pt idx="240">
                  <c:v>-191185.73684968424</c:v>
                </c:pt>
                <c:pt idx="241">
                  <c:v>-199287.94880169959</c:v>
                </c:pt>
                <c:pt idx="242">
                  <c:v>-203387.35289569543</c:v>
                </c:pt>
                <c:pt idx="243">
                  <c:v>-198664.70448824757</c:v>
                </c:pt>
                <c:pt idx="244">
                  <c:v>-211928.03487259214</c:v>
                </c:pt>
                <c:pt idx="245">
                  <c:v>-216181.3790092991</c:v>
                </c:pt>
                <c:pt idx="246">
                  <c:v>-197408.96152005761</c:v>
                </c:pt>
                <c:pt idx="247">
                  <c:v>-181746.28972851139</c:v>
                </c:pt>
                <c:pt idx="248">
                  <c:v>-183489.78986565513</c:v>
                </c:pt>
                <c:pt idx="249">
                  <c:v>-175284.45596539855</c:v>
                </c:pt>
                <c:pt idx="250">
                  <c:v>-171396.84854167255</c:v>
                </c:pt>
                <c:pt idx="251">
                  <c:v>-160407.57664554333</c:v>
                </c:pt>
                <c:pt idx="252">
                  <c:v>-161455.96105580963</c:v>
                </c:pt>
              </c:numCache>
            </c:numRef>
          </c:val>
          <c:smooth val="0"/>
          <c:extLst>
            <c:ext xmlns:c16="http://schemas.microsoft.com/office/drawing/2014/chart" uri="{C3380CC4-5D6E-409C-BE32-E72D297353CC}">
              <c16:uniqueId val="{00000000-0D6F-4A1B-8C76-CC644B8B41C5}"/>
            </c:ext>
          </c:extLst>
        </c:ser>
        <c:dLbls>
          <c:showLegendKey val="0"/>
          <c:showVal val="0"/>
          <c:showCatName val="0"/>
          <c:showSerName val="0"/>
          <c:showPercent val="0"/>
          <c:showBubbleSize val="0"/>
        </c:dLbls>
        <c:smooth val="0"/>
        <c:axId val="1159354032"/>
        <c:axId val="1159349232"/>
      </c:lineChart>
      <c:catAx>
        <c:axId val="115935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59349232"/>
        <c:crosses val="autoZero"/>
        <c:auto val="1"/>
        <c:lblAlgn val="ctr"/>
        <c:lblOffset val="100"/>
        <c:noMultiLvlLbl val="0"/>
      </c:catAx>
      <c:valAx>
        <c:axId val="115934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5935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Daily Variation Margin Calls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'MTM and VM'!$K$2</c:f>
              <c:strCache>
                <c:ptCount val="1"/>
                <c:pt idx="0">
                  <c:v>Variation Margin</c:v>
                </c:pt>
              </c:strCache>
            </c:strRef>
          </c:tx>
          <c:spPr>
            <a:ln w="28575" cap="rnd">
              <a:solidFill>
                <a:schemeClr val="accent1"/>
              </a:solidFill>
              <a:round/>
            </a:ln>
            <a:effectLst/>
          </c:spPr>
          <c:marker>
            <c:symbol val="none"/>
          </c:marker>
          <c:cat>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'MTM and VM'!$K$3:$K$255</c:f>
              <c:numCache>
                <c:formatCode>General</c:formatCode>
                <c:ptCount val="253"/>
                <c:pt idx="0">
                  <c:v>0</c:v>
                </c:pt>
                <c:pt idx="1">
                  <c:v>-4306.0935703498162</c:v>
                </c:pt>
                <c:pt idx="2">
                  <c:v>20529.087138406081</c:v>
                </c:pt>
                <c:pt idx="3">
                  <c:v>-27822.952399707217</c:v>
                </c:pt>
                <c:pt idx="4">
                  <c:v>4124.2097402192721</c:v>
                </c:pt>
                <c:pt idx="5">
                  <c:v>-16289.557632626667</c:v>
                </c:pt>
                <c:pt idx="6">
                  <c:v>-4047.9818912007213</c:v>
                </c:pt>
                <c:pt idx="7">
                  <c:v>206.79004259037174</c:v>
                </c:pt>
                <c:pt idx="8">
                  <c:v>-8462.6017004026762</c:v>
                </c:pt>
                <c:pt idx="9">
                  <c:v>-14696.728367120639</c:v>
                </c:pt>
                <c:pt idx="10">
                  <c:v>-9813.0004263961746</c:v>
                </c:pt>
                <c:pt idx="11">
                  <c:v>-9593.9444608066624</c:v>
                </c:pt>
                <c:pt idx="12">
                  <c:v>20800.038316933053</c:v>
                </c:pt>
                <c:pt idx="13">
                  <c:v>10705.264628028744</c:v>
                </c:pt>
                <c:pt idx="14">
                  <c:v>7717.6774916085778</c:v>
                </c:pt>
                <c:pt idx="15">
                  <c:v>-11851.152018196131</c:v>
                </c:pt>
                <c:pt idx="16">
                  <c:v>8935.2423296074339</c:v>
                </c:pt>
                <c:pt idx="17">
                  <c:v>-20973.7019947687</c:v>
                </c:pt>
                <c:pt idx="18">
                  <c:v>15721.466995445611</c:v>
                </c:pt>
                <c:pt idx="19">
                  <c:v>21147.484121238162</c:v>
                </c:pt>
                <c:pt idx="20">
                  <c:v>10960.996466821769</c:v>
                </c:pt>
                <c:pt idx="21">
                  <c:v>43676.878032140819</c:v>
                </c:pt>
                <c:pt idx="22">
                  <c:v>-14348.583500334793</c:v>
                </c:pt>
                <c:pt idx="23">
                  <c:v>-3868.7615592824914</c:v>
                </c:pt>
                <c:pt idx="24">
                  <c:v>-1424.1893295057671</c:v>
                </c:pt>
                <c:pt idx="25">
                  <c:v>5930.4592690989484</c:v>
                </c:pt>
                <c:pt idx="26">
                  <c:v>-15997.87744167955</c:v>
                </c:pt>
                <c:pt idx="27">
                  <c:v>11755.104564705904</c:v>
                </c:pt>
                <c:pt idx="28">
                  <c:v>-9876.2715918516624</c:v>
                </c:pt>
                <c:pt idx="29">
                  <c:v>19251.447208834234</c:v>
                </c:pt>
                <c:pt idx="30">
                  <c:v>-22534.190366379076</c:v>
                </c:pt>
                <c:pt idx="31">
                  <c:v>-6849.4302447830078</c:v>
                </c:pt>
                <c:pt idx="32">
                  <c:v>34179.769275055063</c:v>
                </c:pt>
                <c:pt idx="33">
                  <c:v>-1487.3853990461284</c:v>
                </c:pt>
                <c:pt idx="34">
                  <c:v>20698.606627375259</c:v>
                </c:pt>
                <c:pt idx="35">
                  <c:v>24906.795705158227</c:v>
                </c:pt>
                <c:pt idx="36">
                  <c:v>10781.003159690386</c:v>
                </c:pt>
                <c:pt idx="37">
                  <c:v>7717.3540189518535</c:v>
                </c:pt>
                <c:pt idx="38">
                  <c:v>-11750.916004883155</c:v>
                </c:pt>
                <c:pt idx="39">
                  <c:v>14991.837975993854</c:v>
                </c:pt>
                <c:pt idx="40">
                  <c:v>-31431.672618002005</c:v>
                </c:pt>
                <c:pt idx="41">
                  <c:v>2116.074731148823</c:v>
                </c:pt>
                <c:pt idx="42">
                  <c:v>11226.710174883992</c:v>
                </c:pt>
                <c:pt idx="43">
                  <c:v>-27991.208087464503</c:v>
                </c:pt>
                <c:pt idx="44">
                  <c:v>-13439.763374744594</c:v>
                </c:pt>
                <c:pt idx="45">
                  <c:v>26802.536922041472</c:v>
                </c:pt>
                <c:pt idx="46">
                  <c:v>-15124.134521522879</c:v>
                </c:pt>
                <c:pt idx="47">
                  <c:v>-6911.6236217460901</c:v>
                </c:pt>
                <c:pt idx="48">
                  <c:v>-26293.674773272924</c:v>
                </c:pt>
                <c:pt idx="49">
                  <c:v>-17988.859865937739</c:v>
                </c:pt>
                <c:pt idx="50">
                  <c:v>8198.6817444463595</c:v>
                </c:pt>
                <c:pt idx="51">
                  <c:v>-11116.397338258677</c:v>
                </c:pt>
                <c:pt idx="52">
                  <c:v>19293.663122091973</c:v>
                </c:pt>
                <c:pt idx="53">
                  <c:v>6284.6716846580366</c:v>
                </c:pt>
                <c:pt idx="54">
                  <c:v>-8212.992296960665</c:v>
                </c:pt>
                <c:pt idx="55">
                  <c:v>2847.737516043906</c:v>
                </c:pt>
                <c:pt idx="56">
                  <c:v>-2288.6296103024506</c:v>
                </c:pt>
                <c:pt idx="57">
                  <c:v>8958.7958581321946</c:v>
                </c:pt>
                <c:pt idx="58">
                  <c:v>-13487.109048055716</c:v>
                </c:pt>
                <c:pt idx="59">
                  <c:v>-3777.79833244162</c:v>
                </c:pt>
                <c:pt idx="60">
                  <c:v>-907.73538254552568</c:v>
                </c:pt>
                <c:pt idx="61">
                  <c:v>1259.6338412419072</c:v>
                </c:pt>
                <c:pt idx="62">
                  <c:v>4808.6487894600796</c:v>
                </c:pt>
                <c:pt idx="63">
                  <c:v>9466.0346236183559</c:v>
                </c:pt>
                <c:pt idx="64">
                  <c:v>-7500.1934497728944</c:v>
                </c:pt>
                <c:pt idx="65">
                  <c:v>942.66530630832858</c:v>
                </c:pt>
                <c:pt idx="66">
                  <c:v>10776.696559716755</c:v>
                </c:pt>
                <c:pt idx="67">
                  <c:v>-22728.224743777759</c:v>
                </c:pt>
                <c:pt idx="68">
                  <c:v>25997.16208496716</c:v>
                </c:pt>
                <c:pt idx="69">
                  <c:v>-30760.22593483387</c:v>
                </c:pt>
                <c:pt idx="70">
                  <c:v>-31.456505820841357</c:v>
                </c:pt>
                <c:pt idx="71">
                  <c:v>7264.5554149714544</c:v>
                </c:pt>
                <c:pt idx="72">
                  <c:v>-5401.0658130235361</c:v>
                </c:pt>
                <c:pt idx="73">
                  <c:v>-1774.2644959302825</c:v>
                </c:pt>
                <c:pt idx="74">
                  <c:v>4167.2487947911923</c:v>
                </c:pt>
                <c:pt idx="75">
                  <c:v>-9378.4647059310082</c:v>
                </c:pt>
                <c:pt idx="76">
                  <c:v>3874.390626756252</c:v>
                </c:pt>
                <c:pt idx="77">
                  <c:v>-6046.941936319854</c:v>
                </c:pt>
                <c:pt idx="78">
                  <c:v>35.849500494294261</c:v>
                </c:pt>
                <c:pt idx="79">
                  <c:v>-5588.5654307539317</c:v>
                </c:pt>
                <c:pt idx="80">
                  <c:v>-13588.025770928309</c:v>
                </c:pt>
                <c:pt idx="81">
                  <c:v>-15005.023031602181</c:v>
                </c:pt>
                <c:pt idx="82">
                  <c:v>12837.533803917297</c:v>
                </c:pt>
                <c:pt idx="83">
                  <c:v>18614.635289726066</c:v>
                </c:pt>
                <c:pt idx="84">
                  <c:v>13948.827712140996</c:v>
                </c:pt>
                <c:pt idx="85">
                  <c:v>7593.9815831470978</c:v>
                </c:pt>
                <c:pt idx="86">
                  <c:v>-12174.648442173322</c:v>
                </c:pt>
                <c:pt idx="87">
                  <c:v>-2737.8258580604615</c:v>
                </c:pt>
                <c:pt idx="88">
                  <c:v>-3715.2210872126552</c:v>
                </c:pt>
                <c:pt idx="89">
                  <c:v>-7324.6553010764619</c:v>
                </c:pt>
                <c:pt idx="90">
                  <c:v>2491.5455543798271</c:v>
                </c:pt>
                <c:pt idx="91">
                  <c:v>-5316.1616074841331</c:v>
                </c:pt>
                <c:pt idx="92">
                  <c:v>-12921.215900821462</c:v>
                </c:pt>
                <c:pt idx="93">
                  <c:v>-9490.8966228683821</c:v>
                </c:pt>
                <c:pt idx="94">
                  <c:v>4975.3849244643789</c:v>
                </c:pt>
                <c:pt idx="95">
                  <c:v>-3582.9807411837974</c:v>
                </c:pt>
                <c:pt idx="96">
                  <c:v>6135.6105145773618</c:v>
                </c:pt>
                <c:pt idx="97">
                  <c:v>-20137.259001530765</c:v>
                </c:pt>
                <c:pt idx="98">
                  <c:v>4583.102892913048</c:v>
                </c:pt>
                <c:pt idx="99">
                  <c:v>35310.713184295251</c:v>
                </c:pt>
                <c:pt idx="100">
                  <c:v>12307.555707649557</c:v>
                </c:pt>
                <c:pt idx="101">
                  <c:v>12715.841987969867</c:v>
                </c:pt>
                <c:pt idx="102">
                  <c:v>-7459.0115148973273</c:v>
                </c:pt>
                <c:pt idx="103">
                  <c:v>-25114.759706810473</c:v>
                </c:pt>
                <c:pt idx="104">
                  <c:v>11502.252679719191</c:v>
                </c:pt>
                <c:pt idx="105">
                  <c:v>18363.330022196038</c:v>
                </c:pt>
                <c:pt idx="106">
                  <c:v>-10608.373367281842</c:v>
                </c:pt>
                <c:pt idx="107">
                  <c:v>-4968.9721700977425</c:v>
                </c:pt>
                <c:pt idx="108">
                  <c:v>-15836.450954834334</c:v>
                </c:pt>
                <c:pt idx="109">
                  <c:v>-3589.4866732667215</c:v>
                </c:pt>
                <c:pt idx="110">
                  <c:v>8601.738342348428</c:v>
                </c:pt>
                <c:pt idx="111">
                  <c:v>13254.610920604364</c:v>
                </c:pt>
                <c:pt idx="112">
                  <c:v>9022.1818963452442</c:v>
                </c:pt>
                <c:pt idx="113">
                  <c:v>-429.95580397160893</c:v>
                </c:pt>
                <c:pt idx="114">
                  <c:v>-9512.6652082609544</c:v>
                </c:pt>
                <c:pt idx="115">
                  <c:v>-5239.1898322034085</c:v>
                </c:pt>
                <c:pt idx="116">
                  <c:v>-8161.3568909195055</c:v>
                </c:pt>
                <c:pt idx="117">
                  <c:v>6671.1536566872091</c:v>
                </c:pt>
                <c:pt idx="118">
                  <c:v>-21962.809225625224</c:v>
                </c:pt>
                <c:pt idx="119">
                  <c:v>-17978.236518064245</c:v>
                </c:pt>
                <c:pt idx="120">
                  <c:v>-6161.7971171961035</c:v>
                </c:pt>
                <c:pt idx="121">
                  <c:v>-20782.068051020273</c:v>
                </c:pt>
                <c:pt idx="122">
                  <c:v>-2659.5045610234665</c:v>
                </c:pt>
                <c:pt idx="123">
                  <c:v>13433.981687004329</c:v>
                </c:pt>
                <c:pt idx="124">
                  <c:v>11286.541892720692</c:v>
                </c:pt>
                <c:pt idx="125">
                  <c:v>-11976.302879548079</c:v>
                </c:pt>
                <c:pt idx="126">
                  <c:v>-19321.681686387397</c:v>
                </c:pt>
                <c:pt idx="127">
                  <c:v>1092.4908655756735</c:v>
                </c:pt>
                <c:pt idx="128">
                  <c:v>-2550.6817424560722</c:v>
                </c:pt>
                <c:pt idx="129">
                  <c:v>-843.43674367715721</c:v>
                </c:pt>
                <c:pt idx="130">
                  <c:v>3182.3554499452148</c:v>
                </c:pt>
                <c:pt idx="131">
                  <c:v>1509.2735437517113</c:v>
                </c:pt>
                <c:pt idx="132">
                  <c:v>2898.9531935232517</c:v>
                </c:pt>
                <c:pt idx="133">
                  <c:v>-5139.3033951960388</c:v>
                </c:pt>
                <c:pt idx="134">
                  <c:v>14853.906380845685</c:v>
                </c:pt>
                <c:pt idx="135">
                  <c:v>2509.4595312286401</c:v>
                </c:pt>
                <c:pt idx="136">
                  <c:v>-28397.442790974877</c:v>
                </c:pt>
                <c:pt idx="137">
                  <c:v>-7475.5990014072886</c:v>
                </c:pt>
                <c:pt idx="138">
                  <c:v>7163.6104293237731</c:v>
                </c:pt>
                <c:pt idx="139">
                  <c:v>23831.753543744868</c:v>
                </c:pt>
                <c:pt idx="140">
                  <c:v>-12049.407534036189</c:v>
                </c:pt>
                <c:pt idx="141">
                  <c:v>6584.7041047251696</c:v>
                </c:pt>
                <c:pt idx="142">
                  <c:v>-10495.08641998969</c:v>
                </c:pt>
                <c:pt idx="143">
                  <c:v>-13549.531999631203</c:v>
                </c:pt>
                <c:pt idx="144">
                  <c:v>-13106.405210112658</c:v>
                </c:pt>
                <c:pt idx="145">
                  <c:v>-993.14531182499195</c:v>
                </c:pt>
                <c:pt idx="146">
                  <c:v>4765.8557618296909</c:v>
                </c:pt>
                <c:pt idx="147">
                  <c:v>3556.378610764601</c:v>
                </c:pt>
                <c:pt idx="148">
                  <c:v>2936.7242719779024</c:v>
                </c:pt>
                <c:pt idx="149">
                  <c:v>-7412.232038557675</c:v>
                </c:pt>
                <c:pt idx="150">
                  <c:v>4672.3467544093437</c:v>
                </c:pt>
                <c:pt idx="151">
                  <c:v>6751.1859533999523</c:v>
                </c:pt>
                <c:pt idx="152">
                  <c:v>-15098.164655932589</c:v>
                </c:pt>
                <c:pt idx="153">
                  <c:v>7587.2465437556966</c:v>
                </c:pt>
                <c:pt idx="154">
                  <c:v>24740.825435478502</c:v>
                </c:pt>
                <c:pt idx="155">
                  <c:v>8574.5136907161213</c:v>
                </c:pt>
                <c:pt idx="156">
                  <c:v>-1416.6331055514602</c:v>
                </c:pt>
                <c:pt idx="157">
                  <c:v>-7481.4178660582693</c:v>
                </c:pt>
                <c:pt idx="158">
                  <c:v>-8619.7611723572772</c:v>
                </c:pt>
                <c:pt idx="159">
                  <c:v>-6814.3677616285422</c:v>
                </c:pt>
                <c:pt idx="160">
                  <c:v>-10340.052216813841</c:v>
                </c:pt>
                <c:pt idx="161">
                  <c:v>1989.8162246353604</c:v>
                </c:pt>
                <c:pt idx="162">
                  <c:v>3424.9160873528599</c:v>
                </c:pt>
                <c:pt idx="163">
                  <c:v>-13041.017468887469</c:v>
                </c:pt>
                <c:pt idx="164">
                  <c:v>-6725.7649471986224</c:v>
                </c:pt>
                <c:pt idx="165">
                  <c:v>14417.465431583027</c:v>
                </c:pt>
                <c:pt idx="166">
                  <c:v>-222.21331505762646</c:v>
                </c:pt>
                <c:pt idx="167">
                  <c:v>-164.87878242514853</c:v>
                </c:pt>
                <c:pt idx="168">
                  <c:v>-25413.604109610897</c:v>
                </c:pt>
                <c:pt idx="169">
                  <c:v>203.55184683081461</c:v>
                </c:pt>
                <c:pt idx="170">
                  <c:v>-17502.875563205977</c:v>
                </c:pt>
                <c:pt idx="171">
                  <c:v>7199.0560305080435</c:v>
                </c:pt>
                <c:pt idx="172">
                  <c:v>-8597.4100839569001</c:v>
                </c:pt>
                <c:pt idx="173">
                  <c:v>19568.263821961707</c:v>
                </c:pt>
                <c:pt idx="174">
                  <c:v>8958.4539628947387</c:v>
                </c:pt>
                <c:pt idx="175">
                  <c:v>6833.6310520849947</c:v>
                </c:pt>
                <c:pt idx="176">
                  <c:v>-14907.534627901652</c:v>
                </c:pt>
                <c:pt idx="177">
                  <c:v>3950.9398520031536</c:v>
                </c:pt>
                <c:pt idx="178">
                  <c:v>-16745.748856995546</c:v>
                </c:pt>
                <c:pt idx="179">
                  <c:v>-3438.4894208913611</c:v>
                </c:pt>
                <c:pt idx="180">
                  <c:v>-8922.4493798228505</c:v>
                </c:pt>
                <c:pt idx="181">
                  <c:v>-20004.952503428096</c:v>
                </c:pt>
                <c:pt idx="182">
                  <c:v>-2801.3022815305449</c:v>
                </c:pt>
                <c:pt idx="183">
                  <c:v>-14979.059263206989</c:v>
                </c:pt>
                <c:pt idx="184">
                  <c:v>-10266.677967111522</c:v>
                </c:pt>
                <c:pt idx="185">
                  <c:v>1092.9740834755939</c:v>
                </c:pt>
                <c:pt idx="186">
                  <c:v>366.29415937085287</c:v>
                </c:pt>
                <c:pt idx="187">
                  <c:v>-2428.1363881648576</c:v>
                </c:pt>
                <c:pt idx="188">
                  <c:v>14483.560057915514</c:v>
                </c:pt>
                <c:pt idx="189">
                  <c:v>-13178.383933324367</c:v>
                </c:pt>
                <c:pt idx="190">
                  <c:v>29019.403990958206</c:v>
                </c:pt>
                <c:pt idx="191">
                  <c:v>-8701.6032518118736</c:v>
                </c:pt>
                <c:pt idx="192">
                  <c:v>1602.6958245323913</c:v>
                </c:pt>
                <c:pt idx="193">
                  <c:v>1299.2459670978424</c:v>
                </c:pt>
                <c:pt idx="194">
                  <c:v>-1091.7729713813169</c:v>
                </c:pt>
                <c:pt idx="195">
                  <c:v>4187.2210161965049</c:v>
                </c:pt>
                <c:pt idx="196">
                  <c:v>5385.9283478553407</c:v>
                </c:pt>
                <c:pt idx="197">
                  <c:v>10180.708234767895</c:v>
                </c:pt>
                <c:pt idx="198">
                  <c:v>-11145.713690178527</c:v>
                </c:pt>
                <c:pt idx="199">
                  <c:v>-2076.4199469573505</c:v>
                </c:pt>
                <c:pt idx="200">
                  <c:v>-4121.7825947133242</c:v>
                </c:pt>
                <c:pt idx="201">
                  <c:v>-4553.9820360453159</c:v>
                </c:pt>
                <c:pt idx="202">
                  <c:v>-17343.463523669139</c:v>
                </c:pt>
                <c:pt idx="203">
                  <c:v>-5162.3461160670558</c:v>
                </c:pt>
                <c:pt idx="204">
                  <c:v>-19234.435862252023</c:v>
                </c:pt>
                <c:pt idx="205">
                  <c:v>13611.612446006795</c:v>
                </c:pt>
                <c:pt idx="206">
                  <c:v>-13631.050281937583</c:v>
                </c:pt>
                <c:pt idx="207">
                  <c:v>7377.3087303213542</c:v>
                </c:pt>
                <c:pt idx="208">
                  <c:v>2551.777040019515</c:v>
                </c:pt>
                <c:pt idx="209">
                  <c:v>-4076.0371697999071</c:v>
                </c:pt>
                <c:pt idx="210">
                  <c:v>-3453.2060889913118</c:v>
                </c:pt>
                <c:pt idx="211">
                  <c:v>3825.4425205439038</c:v>
                </c:pt>
                <c:pt idx="212">
                  <c:v>-2290.3306121652713</c:v>
                </c:pt>
                <c:pt idx="213">
                  <c:v>10410.117934379145</c:v>
                </c:pt>
                <c:pt idx="214">
                  <c:v>-813.65772768293391</c:v>
                </c:pt>
                <c:pt idx="215">
                  <c:v>4117.0047702138545</c:v>
                </c:pt>
                <c:pt idx="216">
                  <c:v>23997.74911436977</c:v>
                </c:pt>
                <c:pt idx="217">
                  <c:v>2814.6716189907456</c:v>
                </c:pt>
                <c:pt idx="218">
                  <c:v>-1600.1148570158985</c:v>
                </c:pt>
                <c:pt idx="219">
                  <c:v>9044.3258329226228</c:v>
                </c:pt>
                <c:pt idx="220">
                  <c:v>-13308.187964766752</c:v>
                </c:pt>
                <c:pt idx="221">
                  <c:v>16760.679911575513</c:v>
                </c:pt>
                <c:pt idx="222">
                  <c:v>-8930.06926829656</c:v>
                </c:pt>
                <c:pt idx="223">
                  <c:v>-11138.203097262216</c:v>
                </c:pt>
                <c:pt idx="224">
                  <c:v>18618.550557642942</c:v>
                </c:pt>
                <c:pt idx="225">
                  <c:v>-12600.839004063455</c:v>
                </c:pt>
                <c:pt idx="226">
                  <c:v>-16132.878082515846</c:v>
                </c:pt>
                <c:pt idx="227">
                  <c:v>-1546.2375057385943</c:v>
                </c:pt>
                <c:pt idx="228">
                  <c:v>-20842.887671229284</c:v>
                </c:pt>
                <c:pt idx="229">
                  <c:v>13004.735260869202</c:v>
                </c:pt>
                <c:pt idx="230">
                  <c:v>9210.1581984351797</c:v>
                </c:pt>
                <c:pt idx="231">
                  <c:v>781.25303036058904</c:v>
                </c:pt>
                <c:pt idx="232">
                  <c:v>-3650.4049447771104</c:v>
                </c:pt>
                <c:pt idx="233">
                  <c:v>2041.42117682565</c:v>
                </c:pt>
                <c:pt idx="234">
                  <c:v>2457.3396912508179</c:v>
                </c:pt>
                <c:pt idx="235">
                  <c:v>762.68882686182042</c:v>
                </c:pt>
                <c:pt idx="236">
                  <c:v>18930.091665892221</c:v>
                </c:pt>
                <c:pt idx="237">
                  <c:v>163.31302088929806</c:v>
                </c:pt>
                <c:pt idx="238">
                  <c:v>-4190.0551472304214</c:v>
                </c:pt>
                <c:pt idx="239">
                  <c:v>3287.4331701180199</c:v>
                </c:pt>
                <c:pt idx="240">
                  <c:v>-4347.2114931098768</c:v>
                </c:pt>
                <c:pt idx="241">
                  <c:v>-8102.2119520153501</c:v>
                </c:pt>
                <c:pt idx="242">
                  <c:v>-4099.4040939958359</c:v>
                </c:pt>
                <c:pt idx="243">
                  <c:v>4722.6484074478503</c:v>
                </c:pt>
                <c:pt idx="244">
                  <c:v>-13263.330384344561</c:v>
                </c:pt>
                <c:pt idx="245">
                  <c:v>-4253.3441367069609</c:v>
                </c:pt>
                <c:pt idx="246">
                  <c:v>18772.417489241489</c:v>
                </c:pt>
                <c:pt idx="247">
                  <c:v>15662.671791546221</c:v>
                </c:pt>
                <c:pt idx="248">
                  <c:v>-1743.5001371437393</c:v>
                </c:pt>
                <c:pt idx="249">
                  <c:v>8205.3339002565772</c:v>
                </c:pt>
                <c:pt idx="250">
                  <c:v>3887.6074237260036</c:v>
                </c:pt>
                <c:pt idx="251">
                  <c:v>10989.271896129212</c:v>
                </c:pt>
                <c:pt idx="252">
                  <c:v>-1048.3844102662988</c:v>
                </c:pt>
              </c:numCache>
            </c:numRef>
          </c:val>
          <c:smooth val="0"/>
          <c:extLst>
            <c:ext xmlns:c16="http://schemas.microsoft.com/office/drawing/2014/chart" uri="{C3380CC4-5D6E-409C-BE32-E72D297353CC}">
              <c16:uniqueId val="{00000000-3146-4348-BD96-18E66789F222}"/>
            </c:ext>
          </c:extLst>
        </c:ser>
        <c:dLbls>
          <c:showLegendKey val="0"/>
          <c:showVal val="0"/>
          <c:showCatName val="0"/>
          <c:showSerName val="0"/>
          <c:showPercent val="0"/>
          <c:showBubbleSize val="0"/>
        </c:dLbls>
        <c:smooth val="0"/>
        <c:axId val="1573360256"/>
        <c:axId val="1573365536"/>
      </c:lineChart>
      <c:catAx>
        <c:axId val="15733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5536"/>
        <c:crosses val="autoZero"/>
        <c:auto val="1"/>
        <c:lblAlgn val="ctr"/>
        <c:lblOffset val="100"/>
        <c:noMultiLvlLbl val="0"/>
      </c:catAx>
      <c:valAx>
        <c:axId val="157336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Initial Margin vs MPoR</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'Sensitivity Analysis'!$O$9</c:f>
              <c:strCache>
                <c:ptCount val="1"/>
                <c:pt idx="0">
                  <c:v>Initial Margin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'Sensitivity Analysis'!$K$10:$K$13</c:f>
              <c:numCache>
                <c:formatCode>General</c:formatCode>
                <c:ptCount val="4"/>
                <c:pt idx="0">
                  <c:v>5</c:v>
                </c:pt>
                <c:pt idx="1">
                  <c:v>10</c:v>
                </c:pt>
                <c:pt idx="2">
                  <c:v>20</c:v>
                </c:pt>
                <c:pt idx="3">
                  <c:v>30</c:v>
                </c:pt>
              </c:numCache>
            </c:numRef>
          </c:xVal>
          <c:yVal>
            <c:numRef>
              <c:f>'Sensitivity Analysis'!$O$10:$O$13</c:f>
              <c:numCache>
                <c:formatCode>General</c:formatCode>
                <c:ptCount val="4"/>
                <c:pt idx="0">
                  <c:v>66081.486034235306</c:v>
                </c:pt>
                <c:pt idx="1">
                  <c:v>93453.333771383841</c:v>
                </c:pt>
                <c:pt idx="2">
                  <c:v>132162.97206847061</c:v>
                </c:pt>
                <c:pt idx="3">
                  <c:v>161865.92222872921</c:v>
                </c:pt>
              </c:numCache>
            </c:numRef>
          </c:yVal>
          <c:smooth val="0"/>
          <c:extLst>
            <c:ext xmlns:c16="http://schemas.microsoft.com/office/drawing/2014/chart" uri="{C3380CC4-5D6E-409C-BE32-E72D297353CC}">
              <c16:uniqueId val="{00000000-9CE4-406C-BC22-978FC0BB2A81}"/>
            </c:ext>
          </c:extLst>
        </c:ser>
        <c:dLbls>
          <c:showLegendKey val="0"/>
          <c:showVal val="0"/>
          <c:showCatName val="0"/>
          <c:showSerName val="0"/>
          <c:showPercent val="0"/>
          <c:showBubbleSize val="0"/>
        </c:dLbls>
        <c:axId val="1184863760"/>
        <c:axId val="1184864720"/>
      </c:scatterChart>
      <c:valAx>
        <c:axId val="1184863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t>Margin Period of Risk (days)</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4720"/>
        <c:crosses val="autoZero"/>
        <c:crossBetween val="midCat"/>
      </c:valAx>
      <c:valAx>
        <c:axId val="118486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Initial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3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baseline="0">
                <a:solidFill>
                  <a:srgbClr val="0B2F4A"/>
                </a:solidFill>
              </a:rPr>
              <a:t>Underlying Price Path</a:t>
            </a:r>
            <a:endParaRPr lang="es-ES" sz="1100" b="1">
              <a:solidFill>
                <a:srgbClr val="0B2F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Simulation!$H$2</c:f>
              <c:strCache>
                <c:ptCount val="1"/>
                <c:pt idx="0">
                  <c:v>Underlying Price</c:v>
                </c:pt>
              </c:strCache>
            </c:strRef>
          </c:tx>
          <c:spPr>
            <a:ln w="25400" cap="rnd">
              <a:solidFill>
                <a:srgbClr val="2F6B8A"/>
              </a:solidFill>
              <a:round/>
            </a:ln>
            <a:effectLst/>
          </c:spPr>
          <c:marker>
            <c:symbol val="none"/>
          </c:marker>
          <c:cat>
            <c:numRef>
              <c:f>Simulation!$E$3:$E$255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Simulation!$H$3:$H$255</c:f>
              <c:numCache>
                <c:formatCode>General</c:formatCode>
                <c:ptCount val="253"/>
                <c:pt idx="0">
                  <c:v>100</c:v>
                </c:pt>
                <c:pt idx="1">
                  <c:v>99.569390642965018</c:v>
                </c:pt>
                <c:pt idx="2">
                  <c:v>101.62229935680563</c:v>
                </c:pt>
                <c:pt idx="3">
                  <c:v>98.840004116834905</c:v>
                </c:pt>
                <c:pt idx="4">
                  <c:v>99.252425090856832</c:v>
                </c:pt>
                <c:pt idx="5">
                  <c:v>97.623469327594165</c:v>
                </c:pt>
                <c:pt idx="6">
                  <c:v>97.218671138474093</c:v>
                </c:pt>
                <c:pt idx="7">
                  <c:v>97.23935014273313</c:v>
                </c:pt>
                <c:pt idx="8">
                  <c:v>96.393089972692863</c:v>
                </c:pt>
                <c:pt idx="9">
                  <c:v>94.923417135980799</c:v>
                </c:pt>
                <c:pt idx="10">
                  <c:v>93.942117093341182</c:v>
                </c:pt>
                <c:pt idx="11">
                  <c:v>92.982722647260516</c:v>
                </c:pt>
                <c:pt idx="12">
                  <c:v>95.06272647895382</c:v>
                </c:pt>
                <c:pt idx="13">
                  <c:v>96.133252941756695</c:v>
                </c:pt>
                <c:pt idx="14">
                  <c:v>96.905020690917553</c:v>
                </c:pt>
                <c:pt idx="15">
                  <c:v>95.71990548909794</c:v>
                </c:pt>
                <c:pt idx="16">
                  <c:v>96.613429722058683</c:v>
                </c:pt>
                <c:pt idx="17">
                  <c:v>94.516059522581813</c:v>
                </c:pt>
                <c:pt idx="18">
                  <c:v>96.088206222126374</c:v>
                </c:pt>
                <c:pt idx="19">
                  <c:v>98.20295463425019</c:v>
                </c:pt>
                <c:pt idx="20">
                  <c:v>99.299054280932367</c:v>
                </c:pt>
                <c:pt idx="21">
                  <c:v>103.66674208414645</c:v>
                </c:pt>
                <c:pt idx="22">
                  <c:v>102.23188373411297</c:v>
                </c:pt>
                <c:pt idx="23">
                  <c:v>101.84500757818472</c:v>
                </c:pt>
                <c:pt idx="24">
                  <c:v>101.70258864523414</c:v>
                </c:pt>
                <c:pt idx="25">
                  <c:v>102.29563457214404</c:v>
                </c:pt>
                <c:pt idx="26">
                  <c:v>100.69584682797608</c:v>
                </c:pt>
                <c:pt idx="27">
                  <c:v>101.87135728444667</c:v>
                </c:pt>
                <c:pt idx="28">
                  <c:v>100.88373012526151</c:v>
                </c:pt>
                <c:pt idx="29">
                  <c:v>102.80887484614493</c:v>
                </c:pt>
                <c:pt idx="30">
                  <c:v>100.55545580950702</c:v>
                </c:pt>
                <c:pt idx="31">
                  <c:v>99.870512785028723</c:v>
                </c:pt>
                <c:pt idx="32">
                  <c:v>103.28848971253423</c:v>
                </c:pt>
                <c:pt idx="33">
                  <c:v>103.13975117262962</c:v>
                </c:pt>
                <c:pt idx="34">
                  <c:v>105.20961183536714</c:v>
                </c:pt>
                <c:pt idx="35">
                  <c:v>107.70029140588296</c:v>
                </c:pt>
                <c:pt idx="36">
                  <c:v>108.778391721852</c:v>
                </c:pt>
                <c:pt idx="37">
                  <c:v>109.55012712374719</c:v>
                </c:pt>
                <c:pt idx="38">
                  <c:v>108.37503552325887</c:v>
                </c:pt>
                <c:pt idx="39">
                  <c:v>109.87421932085826</c:v>
                </c:pt>
                <c:pt idx="40">
                  <c:v>106.73105205905806</c:v>
                </c:pt>
                <c:pt idx="41">
                  <c:v>106.94265953217294</c:v>
                </c:pt>
                <c:pt idx="42">
                  <c:v>108.06533054966134</c:v>
                </c:pt>
                <c:pt idx="43">
                  <c:v>105.26620974091489</c:v>
                </c:pt>
                <c:pt idx="44">
                  <c:v>103.92223340344043</c:v>
                </c:pt>
                <c:pt idx="45">
                  <c:v>106.60248709564458</c:v>
                </c:pt>
                <c:pt idx="46">
                  <c:v>105.09007364349229</c:v>
                </c:pt>
                <c:pt idx="47">
                  <c:v>104.39891128131768</c:v>
                </c:pt>
                <c:pt idx="48">
                  <c:v>101.76954380399039</c:v>
                </c:pt>
                <c:pt idx="49">
                  <c:v>99.970657817396614</c:v>
                </c:pt>
                <c:pt idx="50">
                  <c:v>100.79052599184125</c:v>
                </c:pt>
                <c:pt idx="51">
                  <c:v>99.678886258015382</c:v>
                </c:pt>
                <c:pt idx="52">
                  <c:v>101.60825257022458</c:v>
                </c:pt>
                <c:pt idx="53">
                  <c:v>102.23671973869038</c:v>
                </c:pt>
                <c:pt idx="54">
                  <c:v>101.41542050899432</c:v>
                </c:pt>
                <c:pt idx="55">
                  <c:v>101.70019426059871</c:v>
                </c:pt>
                <c:pt idx="56">
                  <c:v>101.47133129956846</c:v>
                </c:pt>
                <c:pt idx="57">
                  <c:v>102.36721088538168</c:v>
                </c:pt>
                <c:pt idx="58">
                  <c:v>101.01849998057611</c:v>
                </c:pt>
                <c:pt idx="59">
                  <c:v>100.64072014733195</c:v>
                </c:pt>
                <c:pt idx="60">
                  <c:v>100.5499466090774</c:v>
                </c:pt>
                <c:pt idx="61">
                  <c:v>100.67590999320159</c:v>
                </c:pt>
                <c:pt idx="62">
                  <c:v>101.15677487214759</c:v>
                </c:pt>
                <c:pt idx="63">
                  <c:v>102.10337833450943</c:v>
                </c:pt>
                <c:pt idx="64">
                  <c:v>101.35335898953214</c:v>
                </c:pt>
                <c:pt idx="65">
                  <c:v>101.44762552016297</c:v>
                </c:pt>
                <c:pt idx="66">
                  <c:v>102.52529517613465</c:v>
                </c:pt>
                <c:pt idx="67">
                  <c:v>100.25247270175687</c:v>
                </c:pt>
                <c:pt idx="68">
                  <c:v>102.85218891025359</c:v>
                </c:pt>
                <c:pt idx="69">
                  <c:v>99.776166316770201</c:v>
                </c:pt>
                <c:pt idx="70">
                  <c:v>99.773020666188117</c:v>
                </c:pt>
                <c:pt idx="71">
                  <c:v>100.49947620768526</c:v>
                </c:pt>
                <c:pt idx="72">
                  <c:v>99.959369626382909</c:v>
                </c:pt>
                <c:pt idx="73">
                  <c:v>99.781943176789881</c:v>
                </c:pt>
                <c:pt idx="74">
                  <c:v>100.198668056269</c:v>
                </c:pt>
                <c:pt idx="75">
                  <c:v>99.260821585675899</c:v>
                </c:pt>
                <c:pt idx="76">
                  <c:v>99.648260648351524</c:v>
                </c:pt>
                <c:pt idx="77">
                  <c:v>99.043566454719539</c:v>
                </c:pt>
                <c:pt idx="78">
                  <c:v>99.047151404768968</c:v>
                </c:pt>
                <c:pt idx="79">
                  <c:v>98.488294861693575</c:v>
                </c:pt>
                <c:pt idx="80">
                  <c:v>97.129492284600744</c:v>
                </c:pt>
                <c:pt idx="81">
                  <c:v>95.628989981440526</c:v>
                </c:pt>
                <c:pt idx="82">
                  <c:v>96.912743361832256</c:v>
                </c:pt>
                <c:pt idx="83">
                  <c:v>98.774206890804862</c:v>
                </c:pt>
                <c:pt idx="84">
                  <c:v>100.16908966201896</c:v>
                </c:pt>
                <c:pt idx="85">
                  <c:v>100.92848782033367</c:v>
                </c:pt>
                <c:pt idx="86">
                  <c:v>99.71102297611634</c:v>
                </c:pt>
                <c:pt idx="87">
                  <c:v>99.437240390310293</c:v>
                </c:pt>
                <c:pt idx="88">
                  <c:v>99.065718281589028</c:v>
                </c:pt>
                <c:pt idx="89">
                  <c:v>98.333252751481382</c:v>
                </c:pt>
                <c:pt idx="90">
                  <c:v>98.582407306919364</c:v>
                </c:pt>
                <c:pt idx="91">
                  <c:v>98.050791146170951</c:v>
                </c:pt>
                <c:pt idx="92">
                  <c:v>96.758669556088805</c:v>
                </c:pt>
                <c:pt idx="93">
                  <c:v>95.809579893801967</c:v>
                </c:pt>
                <c:pt idx="94">
                  <c:v>96.307118386248405</c:v>
                </c:pt>
                <c:pt idx="95">
                  <c:v>95.948820312130024</c:v>
                </c:pt>
                <c:pt idx="96">
                  <c:v>96.562381363587761</c:v>
                </c:pt>
                <c:pt idx="97">
                  <c:v>94.548655463434685</c:v>
                </c:pt>
                <c:pt idx="98">
                  <c:v>95.006965752725989</c:v>
                </c:pt>
                <c:pt idx="99">
                  <c:v>98.538037071155514</c:v>
                </c:pt>
                <c:pt idx="100">
                  <c:v>99.76879264192047</c:v>
                </c:pt>
                <c:pt idx="101">
                  <c:v>101.04037684071746</c:v>
                </c:pt>
                <c:pt idx="102">
                  <c:v>100.29447568922772</c:v>
                </c:pt>
                <c:pt idx="103">
                  <c:v>97.782999718546677</c:v>
                </c:pt>
                <c:pt idx="104">
                  <c:v>98.933224986518596</c:v>
                </c:pt>
                <c:pt idx="105">
                  <c:v>100.7695579887382</c:v>
                </c:pt>
                <c:pt idx="106">
                  <c:v>99.708720652010015</c:v>
                </c:pt>
                <c:pt idx="107">
                  <c:v>99.211823435000241</c:v>
                </c:pt>
                <c:pt idx="108">
                  <c:v>97.628178339516808</c:v>
                </c:pt>
                <c:pt idx="109">
                  <c:v>97.269229672190136</c:v>
                </c:pt>
                <c:pt idx="110">
                  <c:v>98.129403506424978</c:v>
                </c:pt>
                <c:pt idx="111">
                  <c:v>99.454864598485415</c:v>
                </c:pt>
                <c:pt idx="112">
                  <c:v>100.35708278811994</c:v>
                </c:pt>
                <c:pt idx="113">
                  <c:v>100.31408720772278</c:v>
                </c:pt>
                <c:pt idx="114">
                  <c:v>99.362820686896683</c:v>
                </c:pt>
                <c:pt idx="115">
                  <c:v>98.838901703676342</c:v>
                </c:pt>
                <c:pt idx="116">
                  <c:v>98.022766014584391</c:v>
                </c:pt>
                <c:pt idx="117">
                  <c:v>98.689881380253112</c:v>
                </c:pt>
                <c:pt idx="118">
                  <c:v>96.49360045769059</c:v>
                </c:pt>
                <c:pt idx="119">
                  <c:v>94.695776805884165</c:v>
                </c:pt>
                <c:pt idx="120">
                  <c:v>94.079597094164555</c:v>
                </c:pt>
                <c:pt idx="121">
                  <c:v>92.001390289062527</c:v>
                </c:pt>
                <c:pt idx="122">
                  <c:v>91.735439832960182</c:v>
                </c:pt>
                <c:pt idx="123">
                  <c:v>93.078838001660614</c:v>
                </c:pt>
                <c:pt idx="124">
                  <c:v>94.207492190932683</c:v>
                </c:pt>
                <c:pt idx="125">
                  <c:v>93.009861902977875</c:v>
                </c:pt>
                <c:pt idx="126">
                  <c:v>91.077693734339135</c:v>
                </c:pt>
                <c:pt idx="127">
                  <c:v>91.186942820896704</c:v>
                </c:pt>
                <c:pt idx="128">
                  <c:v>90.931874646651096</c:v>
                </c:pt>
                <c:pt idx="129">
                  <c:v>90.84753097228338</c:v>
                </c:pt>
                <c:pt idx="130">
                  <c:v>91.165766517277902</c:v>
                </c:pt>
                <c:pt idx="131">
                  <c:v>91.316693871653072</c:v>
                </c:pt>
                <c:pt idx="132">
                  <c:v>91.606589191005398</c:v>
                </c:pt>
                <c:pt idx="133">
                  <c:v>91.092658851485794</c:v>
                </c:pt>
                <c:pt idx="134">
                  <c:v>92.578049489570361</c:v>
                </c:pt>
                <c:pt idx="135">
                  <c:v>92.828995442693227</c:v>
                </c:pt>
                <c:pt idx="136">
                  <c:v>89.989251163595739</c:v>
                </c:pt>
                <c:pt idx="137">
                  <c:v>89.24169126345501</c:v>
                </c:pt>
                <c:pt idx="138">
                  <c:v>89.958052306387387</c:v>
                </c:pt>
                <c:pt idx="139">
                  <c:v>92.341227660761874</c:v>
                </c:pt>
                <c:pt idx="140">
                  <c:v>91.136286907358254</c:v>
                </c:pt>
                <c:pt idx="141">
                  <c:v>91.794757317830772</c:v>
                </c:pt>
                <c:pt idx="142">
                  <c:v>90.745248675831803</c:v>
                </c:pt>
                <c:pt idx="143">
                  <c:v>89.390295475868683</c:v>
                </c:pt>
                <c:pt idx="144">
                  <c:v>88.079654954857418</c:v>
                </c:pt>
                <c:pt idx="145">
                  <c:v>87.980340423674917</c:v>
                </c:pt>
                <c:pt idx="146">
                  <c:v>88.456925999857887</c:v>
                </c:pt>
                <c:pt idx="147">
                  <c:v>88.812563860934347</c:v>
                </c:pt>
                <c:pt idx="148">
                  <c:v>89.106236288132138</c:v>
                </c:pt>
                <c:pt idx="149">
                  <c:v>88.36501308427637</c:v>
                </c:pt>
                <c:pt idx="150">
                  <c:v>88.832247759717305</c:v>
                </c:pt>
                <c:pt idx="151">
                  <c:v>89.5073663550573</c:v>
                </c:pt>
                <c:pt idx="152">
                  <c:v>87.99754988946404</c:v>
                </c:pt>
                <c:pt idx="153">
                  <c:v>88.756274543839609</c:v>
                </c:pt>
                <c:pt idx="154">
                  <c:v>91.230357087387461</c:v>
                </c:pt>
                <c:pt idx="155">
                  <c:v>92.087808456459072</c:v>
                </c:pt>
                <c:pt idx="156">
                  <c:v>91.946145145903927</c:v>
                </c:pt>
                <c:pt idx="157">
                  <c:v>91.198003359298099</c:v>
                </c:pt>
                <c:pt idx="158">
                  <c:v>90.336027242062372</c:v>
                </c:pt>
                <c:pt idx="159">
                  <c:v>89.654590465899517</c:v>
                </c:pt>
                <c:pt idx="160">
                  <c:v>88.620585244218134</c:v>
                </c:pt>
                <c:pt idx="161">
                  <c:v>88.819566866681669</c:v>
                </c:pt>
                <c:pt idx="162">
                  <c:v>89.162058475416956</c:v>
                </c:pt>
                <c:pt idx="163">
                  <c:v>87.857956728528208</c:v>
                </c:pt>
                <c:pt idx="164">
                  <c:v>87.185380233808345</c:v>
                </c:pt>
                <c:pt idx="165">
                  <c:v>88.627126776966648</c:v>
                </c:pt>
                <c:pt idx="166">
                  <c:v>88.604905445460886</c:v>
                </c:pt>
                <c:pt idx="167">
                  <c:v>88.588417567218372</c:v>
                </c:pt>
                <c:pt idx="168">
                  <c:v>86.047057156257281</c:v>
                </c:pt>
                <c:pt idx="169">
                  <c:v>86.067412340940365</c:v>
                </c:pt>
                <c:pt idx="170">
                  <c:v>84.317124784619764</c:v>
                </c:pt>
                <c:pt idx="171">
                  <c:v>85.037030387670569</c:v>
                </c:pt>
                <c:pt idx="172">
                  <c:v>84.177289379274882</c:v>
                </c:pt>
                <c:pt idx="173">
                  <c:v>86.134115761471051</c:v>
                </c:pt>
                <c:pt idx="174">
                  <c:v>87.029961157760525</c:v>
                </c:pt>
                <c:pt idx="175">
                  <c:v>87.713324262969024</c:v>
                </c:pt>
                <c:pt idx="176">
                  <c:v>86.222570800178858</c:v>
                </c:pt>
                <c:pt idx="177">
                  <c:v>86.617664785379176</c:v>
                </c:pt>
                <c:pt idx="178">
                  <c:v>84.94308989967962</c:v>
                </c:pt>
                <c:pt idx="179">
                  <c:v>84.599240957590482</c:v>
                </c:pt>
                <c:pt idx="180">
                  <c:v>83.706996019608198</c:v>
                </c:pt>
                <c:pt idx="181">
                  <c:v>81.706500769265389</c:v>
                </c:pt>
                <c:pt idx="182">
                  <c:v>81.426370541112334</c:v>
                </c:pt>
                <c:pt idx="183">
                  <c:v>79.928464614791636</c:v>
                </c:pt>
                <c:pt idx="184">
                  <c:v>78.901796818080484</c:v>
                </c:pt>
                <c:pt idx="185">
                  <c:v>79.011094226428042</c:v>
                </c:pt>
                <c:pt idx="186">
                  <c:v>79.047723642365128</c:v>
                </c:pt>
                <c:pt idx="187">
                  <c:v>78.804910003548642</c:v>
                </c:pt>
                <c:pt idx="188">
                  <c:v>80.253266009340194</c:v>
                </c:pt>
                <c:pt idx="189">
                  <c:v>78.935427616007757</c:v>
                </c:pt>
                <c:pt idx="190">
                  <c:v>81.837368015103579</c:v>
                </c:pt>
                <c:pt idx="191">
                  <c:v>80.96720768992239</c:v>
                </c:pt>
                <c:pt idx="192">
                  <c:v>81.127477272375629</c:v>
                </c:pt>
                <c:pt idx="193">
                  <c:v>81.257401869085413</c:v>
                </c:pt>
                <c:pt idx="194">
                  <c:v>81.148224571947281</c:v>
                </c:pt>
                <c:pt idx="195">
                  <c:v>81.566946673566932</c:v>
                </c:pt>
                <c:pt idx="196">
                  <c:v>82.105539508352464</c:v>
                </c:pt>
                <c:pt idx="197">
                  <c:v>83.123610331829255</c:v>
                </c:pt>
                <c:pt idx="198">
                  <c:v>82.009038962811402</c:v>
                </c:pt>
                <c:pt idx="199">
                  <c:v>81.801396968115668</c:v>
                </c:pt>
                <c:pt idx="200">
                  <c:v>81.389218708644336</c:v>
                </c:pt>
                <c:pt idx="201">
                  <c:v>80.933820505039805</c:v>
                </c:pt>
                <c:pt idx="202">
                  <c:v>79.199474152672892</c:v>
                </c:pt>
                <c:pt idx="203">
                  <c:v>78.683239541066186</c:v>
                </c:pt>
                <c:pt idx="204">
                  <c:v>76.759795954840982</c:v>
                </c:pt>
                <c:pt idx="205">
                  <c:v>78.120957199441662</c:v>
                </c:pt>
                <c:pt idx="206">
                  <c:v>76.757852171247904</c:v>
                </c:pt>
                <c:pt idx="207">
                  <c:v>77.495583044280039</c:v>
                </c:pt>
                <c:pt idx="208">
                  <c:v>77.750760748281991</c:v>
                </c:pt>
                <c:pt idx="209">
                  <c:v>77.343157031301999</c:v>
                </c:pt>
                <c:pt idx="210">
                  <c:v>76.99783642240287</c:v>
                </c:pt>
                <c:pt idx="211">
                  <c:v>77.380380674457257</c:v>
                </c:pt>
                <c:pt idx="212">
                  <c:v>77.151347613240731</c:v>
                </c:pt>
                <c:pt idx="213">
                  <c:v>78.192359406678648</c:v>
                </c:pt>
                <c:pt idx="214">
                  <c:v>78.110993633910354</c:v>
                </c:pt>
                <c:pt idx="215">
                  <c:v>78.522694110931738</c:v>
                </c:pt>
                <c:pt idx="216">
                  <c:v>80.922469022368716</c:v>
                </c:pt>
                <c:pt idx="217">
                  <c:v>81.203936184267789</c:v>
                </c:pt>
                <c:pt idx="218">
                  <c:v>81.043924698566201</c:v>
                </c:pt>
                <c:pt idx="219">
                  <c:v>81.948357281858463</c:v>
                </c:pt>
                <c:pt idx="220">
                  <c:v>80.617538485381786</c:v>
                </c:pt>
                <c:pt idx="221">
                  <c:v>82.293606476539338</c:v>
                </c:pt>
                <c:pt idx="222">
                  <c:v>81.400599549709682</c:v>
                </c:pt>
                <c:pt idx="223">
                  <c:v>80.28677923998346</c:v>
                </c:pt>
                <c:pt idx="224">
                  <c:v>82.148634295747755</c:v>
                </c:pt>
                <c:pt idx="225">
                  <c:v>80.888550395341412</c:v>
                </c:pt>
                <c:pt idx="226">
                  <c:v>79.275262587089827</c:v>
                </c:pt>
                <c:pt idx="227">
                  <c:v>79.120638836515965</c:v>
                </c:pt>
                <c:pt idx="228">
                  <c:v>77.036350069393038</c:v>
                </c:pt>
                <c:pt idx="229">
                  <c:v>78.336823595479956</c:v>
                </c:pt>
                <c:pt idx="230">
                  <c:v>79.257839415323474</c:v>
                </c:pt>
                <c:pt idx="231">
                  <c:v>79.335964718359534</c:v>
                </c:pt>
                <c:pt idx="232">
                  <c:v>78.970924223881823</c:v>
                </c:pt>
                <c:pt idx="233">
                  <c:v>79.175066341564388</c:v>
                </c:pt>
                <c:pt idx="234">
                  <c:v>79.420800310689472</c:v>
                </c:pt>
                <c:pt idx="235">
                  <c:v>79.497069193375651</c:v>
                </c:pt>
                <c:pt idx="236">
                  <c:v>81.390078359964875</c:v>
                </c:pt>
                <c:pt idx="237">
                  <c:v>81.406409662053804</c:v>
                </c:pt>
                <c:pt idx="238">
                  <c:v>80.987404147330764</c:v>
                </c:pt>
                <c:pt idx="239">
                  <c:v>81.316147464342563</c:v>
                </c:pt>
                <c:pt idx="240">
                  <c:v>80.881426315031575</c:v>
                </c:pt>
                <c:pt idx="241">
                  <c:v>80.07120511983004</c:v>
                </c:pt>
                <c:pt idx="242">
                  <c:v>79.661264710430459</c:v>
                </c:pt>
                <c:pt idx="243">
                  <c:v>80.133529551175243</c:v>
                </c:pt>
                <c:pt idx="244">
                  <c:v>78.807196512740788</c:v>
                </c:pt>
                <c:pt idx="245">
                  <c:v>78.381862099070091</c:v>
                </c:pt>
                <c:pt idx="246">
                  <c:v>80.25910384799424</c:v>
                </c:pt>
                <c:pt idx="247">
                  <c:v>81.825371027148861</c:v>
                </c:pt>
                <c:pt idx="248">
                  <c:v>81.651021013434487</c:v>
                </c:pt>
                <c:pt idx="249">
                  <c:v>82.471554403460146</c:v>
                </c:pt>
                <c:pt idx="250">
                  <c:v>82.860315145832743</c:v>
                </c:pt>
                <c:pt idx="251">
                  <c:v>83.959242335445666</c:v>
                </c:pt>
                <c:pt idx="252">
                  <c:v>83.854403894419036</c:v>
                </c:pt>
              </c:numCache>
            </c:numRef>
          </c:val>
          <c:smooth val="0"/>
          <c:extLst>
            <c:ext xmlns:c16="http://schemas.microsoft.com/office/drawing/2014/chart" uri="{C3380CC4-5D6E-409C-BE32-E72D297353CC}">
              <c16:uniqueId val="{00000000-BBAD-4456-BBE7-E56176BC6BF8}"/>
            </c:ext>
          </c:extLst>
        </c:ser>
        <c:dLbls>
          <c:showLegendKey val="0"/>
          <c:showVal val="0"/>
          <c:showCatName val="0"/>
          <c:showSerName val="0"/>
          <c:showPercent val="0"/>
          <c:showBubbleSize val="0"/>
        </c:dLbls>
        <c:smooth val="0"/>
        <c:axId val="1780233488"/>
        <c:axId val="1192303856"/>
      </c:lineChart>
      <c:catAx>
        <c:axId val="17802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92303856"/>
        <c:crosses val="autoZero"/>
        <c:auto val="1"/>
        <c:lblAlgn val="ctr"/>
        <c:lblOffset val="100"/>
        <c:tickLblSkip val="50"/>
        <c:noMultiLvlLbl val="0"/>
      </c:catAx>
      <c:valAx>
        <c:axId val="1192303856"/>
        <c:scaling>
          <c:orientation val="minMax"/>
        </c:scaling>
        <c:delete val="0"/>
        <c:axPos val="l"/>
        <c:majorGridlines>
          <c:spPr>
            <a:ln w="6350" cap="flat" cmpd="sng" algn="ctr">
              <a:gradFill>
                <a:gsLst>
                  <a:gs pos="0">
                    <a:srgbClr val="E5E7E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80233488"/>
        <c:crosses val="autoZero"/>
        <c:crossBetween val="between"/>
      </c:valAx>
      <c:spPr>
        <a:no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s-ES" sz="1200" b="1" i="0" u="none" strike="noStrike" kern="1200" spc="0" baseline="0">
                <a:solidFill>
                  <a:srgbClr val="0B2F4A"/>
                </a:solidFill>
              </a:rPr>
              <a:t>Market-to-Market</a:t>
            </a:r>
          </a:p>
        </c:rich>
      </c:tx>
      <c:layout>
        <c:manualLayout>
          <c:xMode val="edge"/>
          <c:yMode val="edge"/>
          <c:x val="0.37143766277803486"/>
          <c:y val="2.753364651350684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s-ES"/>
        </a:p>
      </c:txPr>
    </c:title>
    <c:autoTitleDeleted val="0"/>
    <c:plotArea>
      <c:layout/>
      <c:scatterChart>
        <c:scatterStyle val="lineMarker"/>
        <c:varyColors val="0"/>
        <c:ser>
          <c:idx val="0"/>
          <c:order val="0"/>
          <c:tx>
            <c:strRef>
              <c:f>'MTM and VM'!$J$2</c:f>
              <c:strCache>
                <c:ptCount val="1"/>
                <c:pt idx="0">
                  <c:v>Mark-to-Market</c:v>
                </c:pt>
              </c:strCache>
            </c:strRef>
          </c:tx>
          <c:spPr>
            <a:ln w="25400" cap="rnd">
              <a:solidFill>
                <a:srgbClr val="2F6B8A"/>
              </a:solidFill>
              <a:round/>
            </a:ln>
            <a:effectLst/>
          </c:spPr>
          <c:marker>
            <c:symbol val="none"/>
          </c:marker>
          <c:xVal>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xVal>
          <c:yVal>
            <c:numRef>
              <c:f>'MTM and VM'!$J$3:$J$255</c:f>
              <c:numCache>
                <c:formatCode>General</c:formatCode>
                <c:ptCount val="253"/>
                <c:pt idx="0">
                  <c:v>0</c:v>
                </c:pt>
                <c:pt idx="1">
                  <c:v>-4306.0935703498162</c:v>
                </c:pt>
                <c:pt idx="2">
                  <c:v>16222.993568056267</c:v>
                </c:pt>
                <c:pt idx="3">
                  <c:v>-11599.958831650953</c:v>
                </c:pt>
                <c:pt idx="4">
                  <c:v>-7475.7490914316804</c:v>
                </c:pt>
                <c:pt idx="5">
                  <c:v>-23765.306724058348</c:v>
                </c:pt>
                <c:pt idx="6">
                  <c:v>-27813.288615259069</c:v>
                </c:pt>
                <c:pt idx="7">
                  <c:v>-27606.498572668697</c:v>
                </c:pt>
                <c:pt idx="8">
                  <c:v>-36069.100273071374</c:v>
                </c:pt>
                <c:pt idx="9">
                  <c:v>-50765.828640192012</c:v>
                </c:pt>
                <c:pt idx="10">
                  <c:v>-60578.829066588187</c:v>
                </c:pt>
                <c:pt idx="11">
                  <c:v>-70172.773527394849</c:v>
                </c:pt>
                <c:pt idx="12">
                  <c:v>-49372.735210461797</c:v>
                </c:pt>
                <c:pt idx="13">
                  <c:v>-38667.470582433052</c:v>
                </c:pt>
                <c:pt idx="14">
                  <c:v>-30949.793090824474</c:v>
                </c:pt>
                <c:pt idx="15">
                  <c:v>-42800.945109020606</c:v>
                </c:pt>
                <c:pt idx="16">
                  <c:v>-33865.702779413172</c:v>
                </c:pt>
                <c:pt idx="17">
                  <c:v>-54839.404774181872</c:v>
                </c:pt>
                <c:pt idx="18">
                  <c:v>-39117.937778736261</c:v>
                </c:pt>
                <c:pt idx="19">
                  <c:v>-17970.453657498099</c:v>
                </c:pt>
                <c:pt idx="20">
                  <c:v>-7009.4571906763294</c:v>
                </c:pt>
                <c:pt idx="21">
                  <c:v>36667.420841464489</c:v>
                </c:pt>
                <c:pt idx="22">
                  <c:v>22318.837341129696</c:v>
                </c:pt>
                <c:pt idx="23">
                  <c:v>18450.075781847205</c:v>
                </c:pt>
                <c:pt idx="24">
                  <c:v>17025.886452341438</c:v>
                </c:pt>
                <c:pt idx="25">
                  <c:v>22956.345721440386</c:v>
                </c:pt>
                <c:pt idx="26">
                  <c:v>6958.4682797608366</c:v>
                </c:pt>
                <c:pt idx="27">
                  <c:v>18713.57284446674</c:v>
                </c:pt>
                <c:pt idx="28">
                  <c:v>8837.3012526150778</c:v>
                </c:pt>
                <c:pt idx="29">
                  <c:v>28088.748461449311</c:v>
                </c:pt>
                <c:pt idx="30">
                  <c:v>5554.5580950702342</c:v>
                </c:pt>
                <c:pt idx="31">
                  <c:v>-1294.8721497127735</c:v>
                </c:pt>
                <c:pt idx="32">
                  <c:v>32884.897125342286</c:v>
                </c:pt>
                <c:pt idx="33">
                  <c:v>31397.511726296158</c:v>
                </c:pt>
                <c:pt idx="34">
                  <c:v>52096.118353671416</c:v>
                </c:pt>
                <c:pt idx="35">
                  <c:v>77002.914058829643</c:v>
                </c:pt>
                <c:pt idx="36">
                  <c:v>87783.91721852003</c:v>
                </c:pt>
                <c:pt idx="37">
                  <c:v>95501.271237471883</c:v>
                </c:pt>
                <c:pt idx="38">
                  <c:v>83750.355232588729</c:v>
                </c:pt>
                <c:pt idx="39">
                  <c:v>98742.193208582583</c:v>
                </c:pt>
                <c:pt idx="40">
                  <c:v>67310.520590580578</c:v>
                </c:pt>
                <c:pt idx="41">
                  <c:v>69426.595321729401</c:v>
                </c:pt>
                <c:pt idx="42">
                  <c:v>80653.305496613393</c:v>
                </c:pt>
                <c:pt idx="43">
                  <c:v>52662.09740914889</c:v>
                </c:pt>
                <c:pt idx="44">
                  <c:v>39222.334034404295</c:v>
                </c:pt>
                <c:pt idx="45">
                  <c:v>66024.870956445768</c:v>
                </c:pt>
                <c:pt idx="46">
                  <c:v>50900.736434922888</c:v>
                </c:pt>
                <c:pt idx="47">
                  <c:v>43989.112813176798</c:v>
                </c:pt>
                <c:pt idx="48">
                  <c:v>17695.438039903875</c:v>
                </c:pt>
                <c:pt idx="49">
                  <c:v>-293.42182603386391</c:v>
                </c:pt>
                <c:pt idx="50">
                  <c:v>7905.2599184124965</c:v>
                </c:pt>
                <c:pt idx="51">
                  <c:v>-3211.1374198461817</c:v>
                </c:pt>
                <c:pt idx="52">
                  <c:v>16082.52570224579</c:v>
                </c:pt>
                <c:pt idx="53">
                  <c:v>22367.197386903827</c:v>
                </c:pt>
                <c:pt idx="54">
                  <c:v>14154.205089943162</c:v>
                </c:pt>
                <c:pt idx="55">
                  <c:v>17001.942605987068</c:v>
                </c:pt>
                <c:pt idx="56">
                  <c:v>14713.312995684617</c:v>
                </c:pt>
                <c:pt idx="57">
                  <c:v>23672.108853816811</c:v>
                </c:pt>
                <c:pt idx="58">
                  <c:v>10184.999805761096</c:v>
                </c:pt>
                <c:pt idx="59">
                  <c:v>6407.2014733194756</c:v>
                </c:pt>
                <c:pt idx="60">
                  <c:v>5499.4660907739499</c:v>
                </c:pt>
                <c:pt idx="61">
                  <c:v>6759.0999320158571</c:v>
                </c:pt>
                <c:pt idx="62">
                  <c:v>11567.748721475937</c:v>
                </c:pt>
                <c:pt idx="63">
                  <c:v>21033.783345094293</c:v>
                </c:pt>
                <c:pt idx="64">
                  <c:v>13533.589895321398</c:v>
                </c:pt>
                <c:pt idx="65">
                  <c:v>14476.255201629727</c:v>
                </c:pt>
                <c:pt idx="66">
                  <c:v>25252.951761346481</c:v>
                </c:pt>
                <c:pt idx="67">
                  <c:v>2524.7270175687222</c:v>
                </c:pt>
                <c:pt idx="68">
                  <c:v>28521.889102535883</c:v>
                </c:pt>
                <c:pt idx="69">
                  <c:v>-2238.3368322979891</c:v>
                </c:pt>
                <c:pt idx="70">
                  <c:v>-2269.7933381188304</c:v>
                </c:pt>
                <c:pt idx="71">
                  <c:v>4994.762076852624</c:v>
                </c:pt>
                <c:pt idx="72">
                  <c:v>-406.30373617091209</c:v>
                </c:pt>
                <c:pt idx="73">
                  <c:v>-2180.5682321011946</c:v>
                </c:pt>
                <c:pt idx="74">
                  <c:v>1986.6805626899977</c:v>
                </c:pt>
                <c:pt idx="75">
                  <c:v>-7391.7841432410114</c:v>
                </c:pt>
                <c:pt idx="76">
                  <c:v>-3517.3935164847594</c:v>
                </c:pt>
                <c:pt idx="77">
                  <c:v>-9564.3354528046129</c:v>
                </c:pt>
                <c:pt idx="78">
                  <c:v>-9528.4859523103187</c:v>
                </c:pt>
                <c:pt idx="79">
                  <c:v>-15117.05138306425</c:v>
                </c:pt>
                <c:pt idx="80">
                  <c:v>-28705.077153992559</c:v>
                </c:pt>
                <c:pt idx="81">
                  <c:v>-43710.10018559474</c:v>
                </c:pt>
                <c:pt idx="82">
                  <c:v>-30872.566381677443</c:v>
                </c:pt>
                <c:pt idx="83">
                  <c:v>-12257.931091951377</c:v>
                </c:pt>
                <c:pt idx="84">
                  <c:v>1690.8966201896192</c:v>
                </c:pt>
                <c:pt idx="85">
                  <c:v>9284.878203336717</c:v>
                </c:pt>
                <c:pt idx="86">
                  <c:v>-2889.7702388366042</c:v>
                </c:pt>
                <c:pt idx="87">
                  <c:v>-5627.5960968970658</c:v>
                </c:pt>
                <c:pt idx="88">
                  <c:v>-9342.817184109721</c:v>
                </c:pt>
                <c:pt idx="89">
                  <c:v>-16667.472485186183</c:v>
                </c:pt>
                <c:pt idx="90">
                  <c:v>-14175.926930806356</c:v>
                </c:pt>
                <c:pt idx="91">
                  <c:v>-19492.088538290489</c:v>
                </c:pt>
                <c:pt idx="92">
                  <c:v>-32413.304439111951</c:v>
                </c:pt>
                <c:pt idx="93">
                  <c:v>-41904.201061980333</c:v>
                </c:pt>
                <c:pt idx="94">
                  <c:v>-36928.816137515954</c:v>
                </c:pt>
                <c:pt idx="95">
                  <c:v>-40511.796878699752</c:v>
                </c:pt>
                <c:pt idx="96">
                  <c:v>-34376.18636412239</c:v>
                </c:pt>
                <c:pt idx="97">
                  <c:v>-54513.445365653155</c:v>
                </c:pt>
                <c:pt idx="98">
                  <c:v>-49930.342472740107</c:v>
                </c:pt>
                <c:pt idx="99">
                  <c:v>-14619.629288444856</c:v>
                </c:pt>
                <c:pt idx="100">
                  <c:v>-2312.0735807952997</c:v>
                </c:pt>
                <c:pt idx="101">
                  <c:v>10403.768407174568</c:v>
                </c:pt>
                <c:pt idx="102">
                  <c:v>2944.7568922772407</c:v>
                </c:pt>
                <c:pt idx="103">
                  <c:v>-22170.002814533233</c:v>
                </c:pt>
                <c:pt idx="104">
                  <c:v>-10667.750134814041</c:v>
                </c:pt>
                <c:pt idx="105">
                  <c:v>7695.5798873819958</c:v>
                </c:pt>
                <c:pt idx="106">
                  <c:v>-2912.7934798998467</c:v>
                </c:pt>
                <c:pt idx="107">
                  <c:v>-7881.7656499975892</c:v>
                </c:pt>
                <c:pt idx="108">
                  <c:v>-23718.216604831923</c:v>
                </c:pt>
                <c:pt idx="109">
                  <c:v>-27307.703278098645</c:v>
                </c:pt>
                <c:pt idx="110">
                  <c:v>-18705.964935750217</c:v>
                </c:pt>
                <c:pt idx="111">
                  <c:v>-5451.3540151458528</c:v>
                </c:pt>
                <c:pt idx="112">
                  <c:v>3570.8278811993919</c:v>
                </c:pt>
                <c:pt idx="113">
                  <c:v>3140.8720772277829</c:v>
                </c:pt>
                <c:pt idx="114">
                  <c:v>-6371.7931310331714</c:v>
                </c:pt>
                <c:pt idx="115">
                  <c:v>-11610.98296323658</c:v>
                </c:pt>
                <c:pt idx="116">
                  <c:v>-19772.339854156085</c:v>
                </c:pt>
                <c:pt idx="117">
                  <c:v>-13101.186197468876</c:v>
                </c:pt>
                <c:pt idx="118">
                  <c:v>-35063.9954230941</c:v>
                </c:pt>
                <c:pt idx="119">
                  <c:v>-53042.231941158345</c:v>
                </c:pt>
                <c:pt idx="120">
                  <c:v>-59204.029058354448</c:v>
                </c:pt>
                <c:pt idx="121">
                  <c:v>-79986.097109374721</c:v>
                </c:pt>
                <c:pt idx="122">
                  <c:v>-82645.601670398188</c:v>
                </c:pt>
                <c:pt idx="123">
                  <c:v>-69211.619983393859</c:v>
                </c:pt>
                <c:pt idx="124">
                  <c:v>-57925.078090673167</c:v>
                </c:pt>
                <c:pt idx="125">
                  <c:v>-69901.380970221246</c:v>
                </c:pt>
                <c:pt idx="126">
                  <c:v>-89223.062656608643</c:v>
                </c:pt>
                <c:pt idx="127">
                  <c:v>-88130.571791032969</c:v>
                </c:pt>
                <c:pt idx="128">
                  <c:v>-90681.253533489042</c:v>
                </c:pt>
                <c:pt idx="129">
                  <c:v>-91524.690277166199</c:v>
                </c:pt>
                <c:pt idx="130">
                  <c:v>-88342.334827220984</c:v>
                </c:pt>
                <c:pt idx="131">
                  <c:v>-86833.061283469273</c:v>
                </c:pt>
                <c:pt idx="132">
                  <c:v>-83934.108089946021</c:v>
                </c:pt>
                <c:pt idx="133">
                  <c:v>-89073.41148514206</c:v>
                </c:pt>
                <c:pt idx="134">
                  <c:v>-74219.505104296375</c:v>
                </c:pt>
                <c:pt idx="135">
                  <c:v>-71710.045573067735</c:v>
                </c:pt>
                <c:pt idx="136">
                  <c:v>-100107.48836404261</c:v>
                </c:pt>
                <c:pt idx="137">
                  <c:v>-107583.0873654499</c:v>
                </c:pt>
                <c:pt idx="138">
                  <c:v>-100419.47693612613</c:v>
                </c:pt>
                <c:pt idx="139">
                  <c:v>-76587.72339238126</c:v>
                </c:pt>
                <c:pt idx="140">
                  <c:v>-88637.130926417449</c:v>
                </c:pt>
                <c:pt idx="141">
                  <c:v>-82052.426821692279</c:v>
                </c:pt>
                <c:pt idx="142">
                  <c:v>-92547.513241681969</c:v>
                </c:pt>
                <c:pt idx="143">
                  <c:v>-106097.04524131317</c:v>
                </c:pt>
                <c:pt idx="144">
                  <c:v>-119203.45045142583</c:v>
                </c:pt>
                <c:pt idx="145">
                  <c:v>-120196.59576325082</c:v>
                </c:pt>
                <c:pt idx="146">
                  <c:v>-115430.74000142113</c:v>
                </c:pt>
                <c:pt idx="147">
                  <c:v>-111874.36139065653</c:v>
                </c:pt>
                <c:pt idx="148">
                  <c:v>-108937.63711867863</c:v>
                </c:pt>
                <c:pt idx="149">
                  <c:v>-116349.8691572363</c:v>
                </c:pt>
                <c:pt idx="150">
                  <c:v>-111677.52240282696</c:v>
                </c:pt>
                <c:pt idx="151">
                  <c:v>-104926.33644942701</c:v>
                </c:pt>
                <c:pt idx="152">
                  <c:v>-120024.5011053596</c:v>
                </c:pt>
                <c:pt idx="153">
                  <c:v>-112437.2545616039</c:v>
                </c:pt>
                <c:pt idx="154">
                  <c:v>-87696.429126125397</c:v>
                </c:pt>
                <c:pt idx="155">
                  <c:v>-79121.915435409275</c:v>
                </c:pt>
                <c:pt idx="156">
                  <c:v>-80538.548540960735</c:v>
                </c:pt>
                <c:pt idx="157">
                  <c:v>-88019.966407019005</c:v>
                </c:pt>
                <c:pt idx="158">
                  <c:v>-96639.727579376282</c:v>
                </c:pt>
                <c:pt idx="159">
                  <c:v>-103454.09534100482</c:v>
                </c:pt>
                <c:pt idx="160">
                  <c:v>-113794.14755781867</c:v>
                </c:pt>
                <c:pt idx="161">
                  <c:v>-111804.33133318331</c:v>
                </c:pt>
                <c:pt idx="162">
                  <c:v>-108379.41524583045</c:v>
                </c:pt>
                <c:pt idx="163">
                  <c:v>-121420.43271471791</c:v>
                </c:pt>
                <c:pt idx="164">
                  <c:v>-128146.19766191654</c:v>
                </c:pt>
                <c:pt idx="165">
                  <c:v>-113728.73223033351</c:v>
                </c:pt>
                <c:pt idx="166">
                  <c:v>-113950.94554539114</c:v>
                </c:pt>
                <c:pt idx="167">
                  <c:v>-114115.82432781628</c:v>
                </c:pt>
                <c:pt idx="168">
                  <c:v>-139529.42843742718</c:v>
                </c:pt>
                <c:pt idx="169">
                  <c:v>-139325.87659059637</c:v>
                </c:pt>
                <c:pt idx="170">
                  <c:v>-156828.75215380234</c:v>
                </c:pt>
                <c:pt idx="171">
                  <c:v>-149629.6961232943</c:v>
                </c:pt>
                <c:pt idx="172">
                  <c:v>-158227.1062072512</c:v>
                </c:pt>
                <c:pt idx="173">
                  <c:v>-138658.84238528949</c:v>
                </c:pt>
                <c:pt idx="174">
                  <c:v>-129700.38842239475</c:v>
                </c:pt>
                <c:pt idx="175">
                  <c:v>-122866.75737030976</c:v>
                </c:pt>
                <c:pt idx="176">
                  <c:v>-137774.29199821141</c:v>
                </c:pt>
                <c:pt idx="177">
                  <c:v>-133823.35214620826</c:v>
                </c:pt>
                <c:pt idx="178">
                  <c:v>-150569.1010032038</c:v>
                </c:pt>
                <c:pt idx="179">
                  <c:v>-154007.59042409516</c:v>
                </c:pt>
                <c:pt idx="180">
                  <c:v>-162930.03980391801</c:v>
                </c:pt>
                <c:pt idx="181">
                  <c:v>-182934.99230734611</c:v>
                </c:pt>
                <c:pt idx="182">
                  <c:v>-185736.29458887666</c:v>
                </c:pt>
                <c:pt idx="183">
                  <c:v>-200715.35385208364</c:v>
                </c:pt>
                <c:pt idx="184">
                  <c:v>-210982.03181919517</c:v>
                </c:pt>
                <c:pt idx="185">
                  <c:v>-209889.05773571957</c:v>
                </c:pt>
                <c:pt idx="186">
                  <c:v>-209522.76357634872</c:v>
                </c:pt>
                <c:pt idx="187">
                  <c:v>-211950.89996451358</c:v>
                </c:pt>
                <c:pt idx="188">
                  <c:v>-197467.33990659806</c:v>
                </c:pt>
                <c:pt idx="189">
                  <c:v>-210645.72383992243</c:v>
                </c:pt>
                <c:pt idx="190">
                  <c:v>-181626.31984896422</c:v>
                </c:pt>
                <c:pt idx="191">
                  <c:v>-190327.9231007761</c:v>
                </c:pt>
                <c:pt idx="192">
                  <c:v>-188725.22727624371</c:v>
                </c:pt>
                <c:pt idx="193">
                  <c:v>-187425.98130914586</c:v>
                </c:pt>
                <c:pt idx="194">
                  <c:v>-188517.75428052718</c:v>
                </c:pt>
                <c:pt idx="195">
                  <c:v>-184330.53326433068</c:v>
                </c:pt>
                <c:pt idx="196">
                  <c:v>-178944.60491647533</c:v>
                </c:pt>
                <c:pt idx="197">
                  <c:v>-168763.89668170744</c:v>
                </c:pt>
                <c:pt idx="198">
                  <c:v>-179909.61037188597</c:v>
                </c:pt>
                <c:pt idx="199">
                  <c:v>-181986.03031884332</c:v>
                </c:pt>
                <c:pt idx="200">
                  <c:v>-186107.81291355664</c:v>
                </c:pt>
                <c:pt idx="201">
                  <c:v>-190661.79494960196</c:v>
                </c:pt>
                <c:pt idx="202">
                  <c:v>-208005.2584732711</c:v>
                </c:pt>
                <c:pt idx="203">
                  <c:v>-213167.60458933815</c:v>
                </c:pt>
                <c:pt idx="204">
                  <c:v>-232402.04045159018</c:v>
                </c:pt>
                <c:pt idx="205">
                  <c:v>-218790.42800558338</c:v>
                </c:pt>
                <c:pt idx="206">
                  <c:v>-232421.47828752096</c:v>
                </c:pt>
                <c:pt idx="207">
                  <c:v>-225044.16955719961</c:v>
                </c:pt>
                <c:pt idx="208">
                  <c:v>-222492.39251718009</c:v>
                </c:pt>
                <c:pt idx="209">
                  <c:v>-226568.42968698</c:v>
                </c:pt>
                <c:pt idx="210">
                  <c:v>-230021.63577597131</c:v>
                </c:pt>
                <c:pt idx="211">
                  <c:v>-226196.19325542741</c:v>
                </c:pt>
                <c:pt idx="212">
                  <c:v>-228486.52386759268</c:v>
                </c:pt>
                <c:pt idx="213">
                  <c:v>-218076.40593321354</c:v>
                </c:pt>
                <c:pt idx="214">
                  <c:v>-218890.06366089647</c:v>
                </c:pt>
                <c:pt idx="215">
                  <c:v>-214773.05889068262</c:v>
                </c:pt>
                <c:pt idx="216">
                  <c:v>-190775.30977631285</c:v>
                </c:pt>
                <c:pt idx="217">
                  <c:v>-187960.6381573221</c:v>
                </c:pt>
                <c:pt idx="218">
                  <c:v>-189560.753014338</c:v>
                </c:pt>
                <c:pt idx="219">
                  <c:v>-180516.42718141538</c:v>
                </c:pt>
                <c:pt idx="220">
                  <c:v>-193824.61514618213</c:v>
                </c:pt>
                <c:pt idx="221">
                  <c:v>-177063.93523460662</c:v>
                </c:pt>
                <c:pt idx="222">
                  <c:v>-185994.00450290318</c:v>
                </c:pt>
                <c:pt idx="223">
                  <c:v>-197132.20760016539</c:v>
                </c:pt>
                <c:pt idx="224">
                  <c:v>-178513.65704252245</c:v>
                </c:pt>
                <c:pt idx="225">
                  <c:v>-191114.4960465859</c:v>
                </c:pt>
                <c:pt idx="226">
                  <c:v>-207247.37412910175</c:v>
                </c:pt>
                <c:pt idx="227">
                  <c:v>-208793.61163484034</c:v>
                </c:pt>
                <c:pt idx="228">
                  <c:v>-229636.49930606963</c:v>
                </c:pt>
                <c:pt idx="229">
                  <c:v>-216631.76404520043</c:v>
                </c:pt>
                <c:pt idx="230">
                  <c:v>-207421.60584676525</c:v>
                </c:pt>
                <c:pt idx="231">
                  <c:v>-206640.35281640466</c:v>
                </c:pt>
                <c:pt idx="232">
                  <c:v>-210290.75776118177</c:v>
                </c:pt>
                <c:pt idx="233">
                  <c:v>-208249.33658435612</c:v>
                </c:pt>
                <c:pt idx="234">
                  <c:v>-205791.9968931053</c:v>
                </c:pt>
                <c:pt idx="235">
                  <c:v>-205029.30806624348</c:v>
                </c:pt>
                <c:pt idx="236">
                  <c:v>-186099.21640035126</c:v>
                </c:pt>
                <c:pt idx="237">
                  <c:v>-185935.90337946196</c:v>
                </c:pt>
                <c:pt idx="238">
                  <c:v>-190125.95852669238</c:v>
                </c:pt>
                <c:pt idx="239">
                  <c:v>-186838.52535657436</c:v>
                </c:pt>
                <c:pt idx="240">
                  <c:v>-191185.73684968424</c:v>
                </c:pt>
                <c:pt idx="241">
                  <c:v>-199287.94880169959</c:v>
                </c:pt>
                <c:pt idx="242">
                  <c:v>-203387.35289569543</c:v>
                </c:pt>
                <c:pt idx="243">
                  <c:v>-198664.70448824757</c:v>
                </c:pt>
                <c:pt idx="244">
                  <c:v>-211928.03487259214</c:v>
                </c:pt>
                <c:pt idx="245">
                  <c:v>-216181.3790092991</c:v>
                </c:pt>
                <c:pt idx="246">
                  <c:v>-197408.96152005761</c:v>
                </c:pt>
                <c:pt idx="247">
                  <c:v>-181746.28972851139</c:v>
                </c:pt>
                <c:pt idx="248">
                  <c:v>-183489.78986565513</c:v>
                </c:pt>
                <c:pt idx="249">
                  <c:v>-175284.45596539855</c:v>
                </c:pt>
                <c:pt idx="250">
                  <c:v>-171396.84854167255</c:v>
                </c:pt>
                <c:pt idx="251">
                  <c:v>-160407.57664554333</c:v>
                </c:pt>
                <c:pt idx="252">
                  <c:v>-161455.96105580963</c:v>
                </c:pt>
              </c:numCache>
            </c:numRef>
          </c:yVal>
          <c:smooth val="0"/>
          <c:extLst>
            <c:ext xmlns:c16="http://schemas.microsoft.com/office/drawing/2014/chart" uri="{C3380CC4-5D6E-409C-BE32-E72D297353CC}">
              <c16:uniqueId val="{00000000-2298-4172-AD84-9EB85C578CB2}"/>
            </c:ext>
          </c:extLst>
        </c:ser>
        <c:dLbls>
          <c:showLegendKey val="0"/>
          <c:showVal val="0"/>
          <c:showCatName val="0"/>
          <c:showSerName val="0"/>
          <c:showPercent val="0"/>
          <c:showBubbleSize val="0"/>
        </c:dLbls>
        <c:axId val="1159354032"/>
        <c:axId val="1159349232"/>
      </c:scatterChart>
      <c:valAx>
        <c:axId val="1159354032"/>
        <c:scaling>
          <c:orientation val="minMax"/>
          <c:max val="252"/>
          <c:min val="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ES"/>
          </a:p>
        </c:txPr>
        <c:crossAx val="1159349232"/>
        <c:crosses val="autoZero"/>
        <c:crossBetween val="midCat"/>
      </c:valAx>
      <c:valAx>
        <c:axId val="115934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ES"/>
          </a:p>
        </c:txPr>
        <c:crossAx val="1159354032"/>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kern="1200" spc="0" baseline="0">
                <a:solidFill>
                  <a:srgbClr val="0B2F4A"/>
                </a:solidFill>
              </a:rPr>
              <a:t>Daily variation margin </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'MTM and VM'!$K$2</c:f>
              <c:strCache>
                <c:ptCount val="1"/>
                <c:pt idx="0">
                  <c:v>Variation Margin</c:v>
                </c:pt>
              </c:strCache>
            </c:strRef>
          </c:tx>
          <c:spPr>
            <a:solidFill>
              <a:srgbClr val="156082"/>
            </a:solidFill>
            <a:ln w="0">
              <a:solidFill>
                <a:srgbClr val="2F6B8A"/>
              </a:solidFill>
            </a:ln>
            <a:effectLst/>
          </c:spPr>
          <c:invertIfNegative val="1"/>
          <c:cat>
            <c:numRef>
              <c:f>'MTM and VM'!$G$3:$G$255</c:f>
              <c:numCache>
                <c:formatCode>General</c:formatCode>
                <c:ptCount val="2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numCache>
            </c:numRef>
          </c:cat>
          <c:val>
            <c:numRef>
              <c:f>'MTM and VM'!$K$3:$K$255</c:f>
              <c:numCache>
                <c:formatCode>General</c:formatCode>
                <c:ptCount val="253"/>
                <c:pt idx="0">
                  <c:v>0</c:v>
                </c:pt>
                <c:pt idx="1">
                  <c:v>-4306.0935703498162</c:v>
                </c:pt>
                <c:pt idx="2">
                  <c:v>20529.087138406081</c:v>
                </c:pt>
                <c:pt idx="3">
                  <c:v>-27822.952399707217</c:v>
                </c:pt>
                <c:pt idx="4">
                  <c:v>4124.2097402192721</c:v>
                </c:pt>
                <c:pt idx="5">
                  <c:v>-16289.557632626667</c:v>
                </c:pt>
                <c:pt idx="6">
                  <c:v>-4047.9818912007213</c:v>
                </c:pt>
                <c:pt idx="7">
                  <c:v>206.79004259037174</c:v>
                </c:pt>
                <c:pt idx="8">
                  <c:v>-8462.6017004026762</c:v>
                </c:pt>
                <c:pt idx="9">
                  <c:v>-14696.728367120639</c:v>
                </c:pt>
                <c:pt idx="10">
                  <c:v>-9813.0004263961746</c:v>
                </c:pt>
                <c:pt idx="11">
                  <c:v>-9593.9444608066624</c:v>
                </c:pt>
                <c:pt idx="12">
                  <c:v>20800.038316933053</c:v>
                </c:pt>
                <c:pt idx="13">
                  <c:v>10705.264628028744</c:v>
                </c:pt>
                <c:pt idx="14">
                  <c:v>7717.6774916085778</c:v>
                </c:pt>
                <c:pt idx="15">
                  <c:v>-11851.152018196131</c:v>
                </c:pt>
                <c:pt idx="16">
                  <c:v>8935.2423296074339</c:v>
                </c:pt>
                <c:pt idx="17">
                  <c:v>-20973.7019947687</c:v>
                </c:pt>
                <c:pt idx="18">
                  <c:v>15721.466995445611</c:v>
                </c:pt>
                <c:pt idx="19">
                  <c:v>21147.484121238162</c:v>
                </c:pt>
                <c:pt idx="20">
                  <c:v>10960.996466821769</c:v>
                </c:pt>
                <c:pt idx="21">
                  <c:v>43676.878032140819</c:v>
                </c:pt>
                <c:pt idx="22">
                  <c:v>-14348.583500334793</c:v>
                </c:pt>
                <c:pt idx="23">
                  <c:v>-3868.7615592824914</c:v>
                </c:pt>
                <c:pt idx="24">
                  <c:v>-1424.1893295057671</c:v>
                </c:pt>
                <c:pt idx="25">
                  <c:v>5930.4592690989484</c:v>
                </c:pt>
                <c:pt idx="26">
                  <c:v>-15997.87744167955</c:v>
                </c:pt>
                <c:pt idx="27">
                  <c:v>11755.104564705904</c:v>
                </c:pt>
                <c:pt idx="28">
                  <c:v>-9876.2715918516624</c:v>
                </c:pt>
                <c:pt idx="29">
                  <c:v>19251.447208834234</c:v>
                </c:pt>
                <c:pt idx="30">
                  <c:v>-22534.190366379076</c:v>
                </c:pt>
                <c:pt idx="31">
                  <c:v>-6849.4302447830078</c:v>
                </c:pt>
                <c:pt idx="32">
                  <c:v>34179.769275055063</c:v>
                </c:pt>
                <c:pt idx="33">
                  <c:v>-1487.3853990461284</c:v>
                </c:pt>
                <c:pt idx="34">
                  <c:v>20698.606627375259</c:v>
                </c:pt>
                <c:pt idx="35">
                  <c:v>24906.795705158227</c:v>
                </c:pt>
                <c:pt idx="36">
                  <c:v>10781.003159690386</c:v>
                </c:pt>
                <c:pt idx="37">
                  <c:v>7717.3540189518535</c:v>
                </c:pt>
                <c:pt idx="38">
                  <c:v>-11750.916004883155</c:v>
                </c:pt>
                <c:pt idx="39">
                  <c:v>14991.837975993854</c:v>
                </c:pt>
                <c:pt idx="40">
                  <c:v>-31431.672618002005</c:v>
                </c:pt>
                <c:pt idx="41">
                  <c:v>2116.074731148823</c:v>
                </c:pt>
                <c:pt idx="42">
                  <c:v>11226.710174883992</c:v>
                </c:pt>
                <c:pt idx="43">
                  <c:v>-27991.208087464503</c:v>
                </c:pt>
                <c:pt idx="44">
                  <c:v>-13439.763374744594</c:v>
                </c:pt>
                <c:pt idx="45">
                  <c:v>26802.536922041472</c:v>
                </c:pt>
                <c:pt idx="46">
                  <c:v>-15124.134521522879</c:v>
                </c:pt>
                <c:pt idx="47">
                  <c:v>-6911.6236217460901</c:v>
                </c:pt>
                <c:pt idx="48">
                  <c:v>-26293.674773272924</c:v>
                </c:pt>
                <c:pt idx="49">
                  <c:v>-17988.859865937739</c:v>
                </c:pt>
                <c:pt idx="50">
                  <c:v>8198.6817444463595</c:v>
                </c:pt>
                <c:pt idx="51">
                  <c:v>-11116.397338258677</c:v>
                </c:pt>
                <c:pt idx="52">
                  <c:v>19293.663122091973</c:v>
                </c:pt>
                <c:pt idx="53">
                  <c:v>6284.6716846580366</c:v>
                </c:pt>
                <c:pt idx="54">
                  <c:v>-8212.992296960665</c:v>
                </c:pt>
                <c:pt idx="55">
                  <c:v>2847.737516043906</c:v>
                </c:pt>
                <c:pt idx="56">
                  <c:v>-2288.6296103024506</c:v>
                </c:pt>
                <c:pt idx="57">
                  <c:v>8958.7958581321946</c:v>
                </c:pt>
                <c:pt idx="58">
                  <c:v>-13487.109048055716</c:v>
                </c:pt>
                <c:pt idx="59">
                  <c:v>-3777.79833244162</c:v>
                </c:pt>
                <c:pt idx="60">
                  <c:v>-907.73538254552568</c:v>
                </c:pt>
                <c:pt idx="61">
                  <c:v>1259.6338412419072</c:v>
                </c:pt>
                <c:pt idx="62">
                  <c:v>4808.6487894600796</c:v>
                </c:pt>
                <c:pt idx="63">
                  <c:v>9466.0346236183559</c:v>
                </c:pt>
                <c:pt idx="64">
                  <c:v>-7500.1934497728944</c:v>
                </c:pt>
                <c:pt idx="65">
                  <c:v>942.66530630832858</c:v>
                </c:pt>
                <c:pt idx="66">
                  <c:v>10776.696559716755</c:v>
                </c:pt>
                <c:pt idx="67">
                  <c:v>-22728.224743777759</c:v>
                </c:pt>
                <c:pt idx="68">
                  <c:v>25997.16208496716</c:v>
                </c:pt>
                <c:pt idx="69">
                  <c:v>-30760.22593483387</c:v>
                </c:pt>
                <c:pt idx="70">
                  <c:v>-31.456505820841357</c:v>
                </c:pt>
                <c:pt idx="71">
                  <c:v>7264.5554149714544</c:v>
                </c:pt>
                <c:pt idx="72">
                  <c:v>-5401.0658130235361</c:v>
                </c:pt>
                <c:pt idx="73">
                  <c:v>-1774.2644959302825</c:v>
                </c:pt>
                <c:pt idx="74">
                  <c:v>4167.2487947911923</c:v>
                </c:pt>
                <c:pt idx="75">
                  <c:v>-9378.4647059310082</c:v>
                </c:pt>
                <c:pt idx="76">
                  <c:v>3874.390626756252</c:v>
                </c:pt>
                <c:pt idx="77">
                  <c:v>-6046.941936319854</c:v>
                </c:pt>
                <c:pt idx="78">
                  <c:v>35.849500494294261</c:v>
                </c:pt>
                <c:pt idx="79">
                  <c:v>-5588.5654307539317</c:v>
                </c:pt>
                <c:pt idx="80">
                  <c:v>-13588.025770928309</c:v>
                </c:pt>
                <c:pt idx="81">
                  <c:v>-15005.023031602181</c:v>
                </c:pt>
                <c:pt idx="82">
                  <c:v>12837.533803917297</c:v>
                </c:pt>
                <c:pt idx="83">
                  <c:v>18614.635289726066</c:v>
                </c:pt>
                <c:pt idx="84">
                  <c:v>13948.827712140996</c:v>
                </c:pt>
                <c:pt idx="85">
                  <c:v>7593.9815831470978</c:v>
                </c:pt>
                <c:pt idx="86">
                  <c:v>-12174.648442173322</c:v>
                </c:pt>
                <c:pt idx="87">
                  <c:v>-2737.8258580604615</c:v>
                </c:pt>
                <c:pt idx="88">
                  <c:v>-3715.2210872126552</c:v>
                </c:pt>
                <c:pt idx="89">
                  <c:v>-7324.6553010764619</c:v>
                </c:pt>
                <c:pt idx="90">
                  <c:v>2491.5455543798271</c:v>
                </c:pt>
                <c:pt idx="91">
                  <c:v>-5316.1616074841331</c:v>
                </c:pt>
                <c:pt idx="92">
                  <c:v>-12921.215900821462</c:v>
                </c:pt>
                <c:pt idx="93">
                  <c:v>-9490.8966228683821</c:v>
                </c:pt>
                <c:pt idx="94">
                  <c:v>4975.3849244643789</c:v>
                </c:pt>
                <c:pt idx="95">
                  <c:v>-3582.9807411837974</c:v>
                </c:pt>
                <c:pt idx="96">
                  <c:v>6135.6105145773618</c:v>
                </c:pt>
                <c:pt idx="97">
                  <c:v>-20137.259001530765</c:v>
                </c:pt>
                <c:pt idx="98">
                  <c:v>4583.102892913048</c:v>
                </c:pt>
                <c:pt idx="99">
                  <c:v>35310.713184295251</c:v>
                </c:pt>
                <c:pt idx="100">
                  <c:v>12307.555707649557</c:v>
                </c:pt>
                <c:pt idx="101">
                  <c:v>12715.841987969867</c:v>
                </c:pt>
                <c:pt idx="102">
                  <c:v>-7459.0115148973273</c:v>
                </c:pt>
                <c:pt idx="103">
                  <c:v>-25114.759706810473</c:v>
                </c:pt>
                <c:pt idx="104">
                  <c:v>11502.252679719191</c:v>
                </c:pt>
                <c:pt idx="105">
                  <c:v>18363.330022196038</c:v>
                </c:pt>
                <c:pt idx="106">
                  <c:v>-10608.373367281842</c:v>
                </c:pt>
                <c:pt idx="107">
                  <c:v>-4968.9721700977425</c:v>
                </c:pt>
                <c:pt idx="108">
                  <c:v>-15836.450954834334</c:v>
                </c:pt>
                <c:pt idx="109">
                  <c:v>-3589.4866732667215</c:v>
                </c:pt>
                <c:pt idx="110">
                  <c:v>8601.738342348428</c:v>
                </c:pt>
                <c:pt idx="111">
                  <c:v>13254.610920604364</c:v>
                </c:pt>
                <c:pt idx="112">
                  <c:v>9022.1818963452442</c:v>
                </c:pt>
                <c:pt idx="113">
                  <c:v>-429.95580397160893</c:v>
                </c:pt>
                <c:pt idx="114">
                  <c:v>-9512.6652082609544</c:v>
                </c:pt>
                <c:pt idx="115">
                  <c:v>-5239.1898322034085</c:v>
                </c:pt>
                <c:pt idx="116">
                  <c:v>-8161.3568909195055</c:v>
                </c:pt>
                <c:pt idx="117">
                  <c:v>6671.1536566872091</c:v>
                </c:pt>
                <c:pt idx="118">
                  <c:v>-21962.809225625224</c:v>
                </c:pt>
                <c:pt idx="119">
                  <c:v>-17978.236518064245</c:v>
                </c:pt>
                <c:pt idx="120">
                  <c:v>-6161.7971171961035</c:v>
                </c:pt>
                <c:pt idx="121">
                  <c:v>-20782.068051020273</c:v>
                </c:pt>
                <c:pt idx="122">
                  <c:v>-2659.5045610234665</c:v>
                </c:pt>
                <c:pt idx="123">
                  <c:v>13433.981687004329</c:v>
                </c:pt>
                <c:pt idx="124">
                  <c:v>11286.541892720692</c:v>
                </c:pt>
                <c:pt idx="125">
                  <c:v>-11976.302879548079</c:v>
                </c:pt>
                <c:pt idx="126">
                  <c:v>-19321.681686387397</c:v>
                </c:pt>
                <c:pt idx="127">
                  <c:v>1092.4908655756735</c:v>
                </c:pt>
                <c:pt idx="128">
                  <c:v>-2550.6817424560722</c:v>
                </c:pt>
                <c:pt idx="129">
                  <c:v>-843.43674367715721</c:v>
                </c:pt>
                <c:pt idx="130">
                  <c:v>3182.3554499452148</c:v>
                </c:pt>
                <c:pt idx="131">
                  <c:v>1509.2735437517113</c:v>
                </c:pt>
                <c:pt idx="132">
                  <c:v>2898.9531935232517</c:v>
                </c:pt>
                <c:pt idx="133">
                  <c:v>-5139.3033951960388</c:v>
                </c:pt>
                <c:pt idx="134">
                  <c:v>14853.906380845685</c:v>
                </c:pt>
                <c:pt idx="135">
                  <c:v>2509.4595312286401</c:v>
                </c:pt>
                <c:pt idx="136">
                  <c:v>-28397.442790974877</c:v>
                </c:pt>
                <c:pt idx="137">
                  <c:v>-7475.5990014072886</c:v>
                </c:pt>
                <c:pt idx="138">
                  <c:v>7163.6104293237731</c:v>
                </c:pt>
                <c:pt idx="139">
                  <c:v>23831.753543744868</c:v>
                </c:pt>
                <c:pt idx="140">
                  <c:v>-12049.407534036189</c:v>
                </c:pt>
                <c:pt idx="141">
                  <c:v>6584.7041047251696</c:v>
                </c:pt>
                <c:pt idx="142">
                  <c:v>-10495.08641998969</c:v>
                </c:pt>
                <c:pt idx="143">
                  <c:v>-13549.531999631203</c:v>
                </c:pt>
                <c:pt idx="144">
                  <c:v>-13106.405210112658</c:v>
                </c:pt>
                <c:pt idx="145">
                  <c:v>-993.14531182499195</c:v>
                </c:pt>
                <c:pt idx="146">
                  <c:v>4765.8557618296909</c:v>
                </c:pt>
                <c:pt idx="147">
                  <c:v>3556.378610764601</c:v>
                </c:pt>
                <c:pt idx="148">
                  <c:v>2936.7242719779024</c:v>
                </c:pt>
                <c:pt idx="149">
                  <c:v>-7412.232038557675</c:v>
                </c:pt>
                <c:pt idx="150">
                  <c:v>4672.3467544093437</c:v>
                </c:pt>
                <c:pt idx="151">
                  <c:v>6751.1859533999523</c:v>
                </c:pt>
                <c:pt idx="152">
                  <c:v>-15098.164655932589</c:v>
                </c:pt>
                <c:pt idx="153">
                  <c:v>7587.2465437556966</c:v>
                </c:pt>
                <c:pt idx="154">
                  <c:v>24740.825435478502</c:v>
                </c:pt>
                <c:pt idx="155">
                  <c:v>8574.5136907161213</c:v>
                </c:pt>
                <c:pt idx="156">
                  <c:v>-1416.6331055514602</c:v>
                </c:pt>
                <c:pt idx="157">
                  <c:v>-7481.4178660582693</c:v>
                </c:pt>
                <c:pt idx="158">
                  <c:v>-8619.7611723572772</c:v>
                </c:pt>
                <c:pt idx="159">
                  <c:v>-6814.3677616285422</c:v>
                </c:pt>
                <c:pt idx="160">
                  <c:v>-10340.052216813841</c:v>
                </c:pt>
                <c:pt idx="161">
                  <c:v>1989.8162246353604</c:v>
                </c:pt>
                <c:pt idx="162">
                  <c:v>3424.9160873528599</c:v>
                </c:pt>
                <c:pt idx="163">
                  <c:v>-13041.017468887469</c:v>
                </c:pt>
                <c:pt idx="164">
                  <c:v>-6725.7649471986224</c:v>
                </c:pt>
                <c:pt idx="165">
                  <c:v>14417.465431583027</c:v>
                </c:pt>
                <c:pt idx="166">
                  <c:v>-222.21331505762646</c:v>
                </c:pt>
                <c:pt idx="167">
                  <c:v>-164.87878242514853</c:v>
                </c:pt>
                <c:pt idx="168">
                  <c:v>-25413.604109610897</c:v>
                </c:pt>
                <c:pt idx="169">
                  <c:v>203.55184683081461</c:v>
                </c:pt>
                <c:pt idx="170">
                  <c:v>-17502.875563205977</c:v>
                </c:pt>
                <c:pt idx="171">
                  <c:v>7199.0560305080435</c:v>
                </c:pt>
                <c:pt idx="172">
                  <c:v>-8597.4100839569001</c:v>
                </c:pt>
                <c:pt idx="173">
                  <c:v>19568.263821961707</c:v>
                </c:pt>
                <c:pt idx="174">
                  <c:v>8958.4539628947387</c:v>
                </c:pt>
                <c:pt idx="175">
                  <c:v>6833.6310520849947</c:v>
                </c:pt>
                <c:pt idx="176">
                  <c:v>-14907.534627901652</c:v>
                </c:pt>
                <c:pt idx="177">
                  <c:v>3950.9398520031536</c:v>
                </c:pt>
                <c:pt idx="178">
                  <c:v>-16745.748856995546</c:v>
                </c:pt>
                <c:pt idx="179">
                  <c:v>-3438.4894208913611</c:v>
                </c:pt>
                <c:pt idx="180">
                  <c:v>-8922.4493798228505</c:v>
                </c:pt>
                <c:pt idx="181">
                  <c:v>-20004.952503428096</c:v>
                </c:pt>
                <c:pt idx="182">
                  <c:v>-2801.3022815305449</c:v>
                </c:pt>
                <c:pt idx="183">
                  <c:v>-14979.059263206989</c:v>
                </c:pt>
                <c:pt idx="184">
                  <c:v>-10266.677967111522</c:v>
                </c:pt>
                <c:pt idx="185">
                  <c:v>1092.9740834755939</c:v>
                </c:pt>
                <c:pt idx="186">
                  <c:v>366.29415937085287</c:v>
                </c:pt>
                <c:pt idx="187">
                  <c:v>-2428.1363881648576</c:v>
                </c:pt>
                <c:pt idx="188">
                  <c:v>14483.560057915514</c:v>
                </c:pt>
                <c:pt idx="189">
                  <c:v>-13178.383933324367</c:v>
                </c:pt>
                <c:pt idx="190">
                  <c:v>29019.403990958206</c:v>
                </c:pt>
                <c:pt idx="191">
                  <c:v>-8701.6032518118736</c:v>
                </c:pt>
                <c:pt idx="192">
                  <c:v>1602.6958245323913</c:v>
                </c:pt>
                <c:pt idx="193">
                  <c:v>1299.2459670978424</c:v>
                </c:pt>
                <c:pt idx="194">
                  <c:v>-1091.7729713813169</c:v>
                </c:pt>
                <c:pt idx="195">
                  <c:v>4187.2210161965049</c:v>
                </c:pt>
                <c:pt idx="196">
                  <c:v>5385.9283478553407</c:v>
                </c:pt>
                <c:pt idx="197">
                  <c:v>10180.708234767895</c:v>
                </c:pt>
                <c:pt idx="198">
                  <c:v>-11145.713690178527</c:v>
                </c:pt>
                <c:pt idx="199">
                  <c:v>-2076.4199469573505</c:v>
                </c:pt>
                <c:pt idx="200">
                  <c:v>-4121.7825947133242</c:v>
                </c:pt>
                <c:pt idx="201">
                  <c:v>-4553.9820360453159</c:v>
                </c:pt>
                <c:pt idx="202">
                  <c:v>-17343.463523669139</c:v>
                </c:pt>
                <c:pt idx="203">
                  <c:v>-5162.3461160670558</c:v>
                </c:pt>
                <c:pt idx="204">
                  <c:v>-19234.435862252023</c:v>
                </c:pt>
                <c:pt idx="205">
                  <c:v>13611.612446006795</c:v>
                </c:pt>
                <c:pt idx="206">
                  <c:v>-13631.050281937583</c:v>
                </c:pt>
                <c:pt idx="207">
                  <c:v>7377.3087303213542</c:v>
                </c:pt>
                <c:pt idx="208">
                  <c:v>2551.777040019515</c:v>
                </c:pt>
                <c:pt idx="209">
                  <c:v>-4076.0371697999071</c:v>
                </c:pt>
                <c:pt idx="210">
                  <c:v>-3453.2060889913118</c:v>
                </c:pt>
                <c:pt idx="211">
                  <c:v>3825.4425205439038</c:v>
                </c:pt>
                <c:pt idx="212">
                  <c:v>-2290.3306121652713</c:v>
                </c:pt>
                <c:pt idx="213">
                  <c:v>10410.117934379145</c:v>
                </c:pt>
                <c:pt idx="214">
                  <c:v>-813.65772768293391</c:v>
                </c:pt>
                <c:pt idx="215">
                  <c:v>4117.0047702138545</c:v>
                </c:pt>
                <c:pt idx="216">
                  <c:v>23997.74911436977</c:v>
                </c:pt>
                <c:pt idx="217">
                  <c:v>2814.6716189907456</c:v>
                </c:pt>
                <c:pt idx="218">
                  <c:v>-1600.1148570158985</c:v>
                </c:pt>
                <c:pt idx="219">
                  <c:v>9044.3258329226228</c:v>
                </c:pt>
                <c:pt idx="220">
                  <c:v>-13308.187964766752</c:v>
                </c:pt>
                <c:pt idx="221">
                  <c:v>16760.679911575513</c:v>
                </c:pt>
                <c:pt idx="222">
                  <c:v>-8930.06926829656</c:v>
                </c:pt>
                <c:pt idx="223">
                  <c:v>-11138.203097262216</c:v>
                </c:pt>
                <c:pt idx="224">
                  <c:v>18618.550557642942</c:v>
                </c:pt>
                <c:pt idx="225">
                  <c:v>-12600.839004063455</c:v>
                </c:pt>
                <c:pt idx="226">
                  <c:v>-16132.878082515846</c:v>
                </c:pt>
                <c:pt idx="227">
                  <c:v>-1546.2375057385943</c:v>
                </c:pt>
                <c:pt idx="228">
                  <c:v>-20842.887671229284</c:v>
                </c:pt>
                <c:pt idx="229">
                  <c:v>13004.735260869202</c:v>
                </c:pt>
                <c:pt idx="230">
                  <c:v>9210.1581984351797</c:v>
                </c:pt>
                <c:pt idx="231">
                  <c:v>781.25303036058904</c:v>
                </c:pt>
                <c:pt idx="232">
                  <c:v>-3650.4049447771104</c:v>
                </c:pt>
                <c:pt idx="233">
                  <c:v>2041.42117682565</c:v>
                </c:pt>
                <c:pt idx="234">
                  <c:v>2457.3396912508179</c:v>
                </c:pt>
                <c:pt idx="235">
                  <c:v>762.68882686182042</c:v>
                </c:pt>
                <c:pt idx="236">
                  <c:v>18930.091665892221</c:v>
                </c:pt>
                <c:pt idx="237">
                  <c:v>163.31302088929806</c:v>
                </c:pt>
                <c:pt idx="238">
                  <c:v>-4190.0551472304214</c:v>
                </c:pt>
                <c:pt idx="239">
                  <c:v>3287.4331701180199</c:v>
                </c:pt>
                <c:pt idx="240">
                  <c:v>-4347.2114931098768</c:v>
                </c:pt>
                <c:pt idx="241">
                  <c:v>-8102.2119520153501</c:v>
                </c:pt>
                <c:pt idx="242">
                  <c:v>-4099.4040939958359</c:v>
                </c:pt>
                <c:pt idx="243">
                  <c:v>4722.6484074478503</c:v>
                </c:pt>
                <c:pt idx="244">
                  <c:v>-13263.330384344561</c:v>
                </c:pt>
                <c:pt idx="245">
                  <c:v>-4253.3441367069609</c:v>
                </c:pt>
                <c:pt idx="246">
                  <c:v>18772.417489241489</c:v>
                </c:pt>
                <c:pt idx="247">
                  <c:v>15662.671791546221</c:v>
                </c:pt>
                <c:pt idx="248">
                  <c:v>-1743.5001371437393</c:v>
                </c:pt>
                <c:pt idx="249">
                  <c:v>8205.3339002565772</c:v>
                </c:pt>
                <c:pt idx="250">
                  <c:v>3887.6074237260036</c:v>
                </c:pt>
                <c:pt idx="251">
                  <c:v>10989.271896129212</c:v>
                </c:pt>
                <c:pt idx="252">
                  <c:v>-1048.3844102662988</c:v>
                </c:pt>
              </c:numCache>
            </c:numRef>
          </c:val>
          <c:extLst>
            <c:ext xmlns:c14="http://schemas.microsoft.com/office/drawing/2007/8/2/chart" uri="{6F2FDCE9-48DA-4B69-8628-5D25D57E5C99}">
              <c14:invertSolidFillFmt>
                <c14:spPr xmlns:c14="http://schemas.microsoft.com/office/drawing/2007/8/2/chart">
                  <a:solidFill>
                    <a:srgbClr val="FFFFFF"/>
                  </a:solidFill>
                  <a:ln w="0">
                    <a:solidFill>
                      <a:srgbClr val="2F6B8A"/>
                    </a:solidFill>
                  </a:ln>
                  <a:effectLst/>
                </c14:spPr>
              </c14:invertSolidFillFmt>
            </c:ext>
            <c:ext xmlns:c16="http://schemas.microsoft.com/office/drawing/2014/chart" uri="{C3380CC4-5D6E-409C-BE32-E72D297353CC}">
              <c16:uniqueId val="{00000000-75D4-4717-A75E-7325CC502DB0}"/>
            </c:ext>
          </c:extLst>
        </c:ser>
        <c:dLbls>
          <c:showLegendKey val="0"/>
          <c:showVal val="0"/>
          <c:showCatName val="0"/>
          <c:showSerName val="0"/>
          <c:showPercent val="0"/>
          <c:showBubbleSize val="0"/>
        </c:dLbls>
        <c:gapWidth val="150"/>
        <c:axId val="1573360256"/>
        <c:axId val="1573365536"/>
      </c:barChart>
      <c:catAx>
        <c:axId val="1573360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t>Simulation Day</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5536"/>
        <c:crosses val="autoZero"/>
        <c:auto val="1"/>
        <c:lblAlgn val="ctr"/>
        <c:lblOffset val="100"/>
        <c:tickLblSkip val="50"/>
        <c:tickMarkSkip val="50"/>
        <c:noMultiLvlLbl val="0"/>
      </c:catAx>
      <c:valAx>
        <c:axId val="157336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Margin Call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733602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kern="1200" spc="0" baseline="0">
                <a:solidFill>
                  <a:srgbClr val="0B2F4A"/>
                </a:solidFill>
              </a:rPr>
              <a:t>Initial margin vs MPor</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'Sensitivity Analysis'!$O$9</c:f>
              <c:strCache>
                <c:ptCount val="1"/>
                <c:pt idx="0">
                  <c:v>Initial Margin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'Sensitivity Analysis'!$K$10:$K$13</c:f>
              <c:numCache>
                <c:formatCode>General</c:formatCode>
                <c:ptCount val="4"/>
                <c:pt idx="0">
                  <c:v>5</c:v>
                </c:pt>
                <c:pt idx="1">
                  <c:v>10</c:v>
                </c:pt>
                <c:pt idx="2">
                  <c:v>20</c:v>
                </c:pt>
                <c:pt idx="3">
                  <c:v>30</c:v>
                </c:pt>
              </c:numCache>
            </c:numRef>
          </c:xVal>
          <c:yVal>
            <c:numRef>
              <c:f>'Sensitivity Analysis'!$O$10:$O$13</c:f>
              <c:numCache>
                <c:formatCode>General</c:formatCode>
                <c:ptCount val="4"/>
                <c:pt idx="0">
                  <c:v>66081.486034235306</c:v>
                </c:pt>
                <c:pt idx="1">
                  <c:v>93453.333771383841</c:v>
                </c:pt>
                <c:pt idx="2">
                  <c:v>132162.97206847061</c:v>
                </c:pt>
                <c:pt idx="3">
                  <c:v>161865.92222872921</c:v>
                </c:pt>
              </c:numCache>
            </c:numRef>
          </c:yVal>
          <c:smooth val="0"/>
          <c:extLst>
            <c:ext xmlns:c16="http://schemas.microsoft.com/office/drawing/2014/chart" uri="{C3380CC4-5D6E-409C-BE32-E72D297353CC}">
              <c16:uniqueId val="{00000000-2E95-44E7-A4AB-BFA86FDD3A84}"/>
            </c:ext>
          </c:extLst>
        </c:ser>
        <c:dLbls>
          <c:showLegendKey val="0"/>
          <c:showVal val="0"/>
          <c:showCatName val="0"/>
          <c:showSerName val="0"/>
          <c:showPercent val="0"/>
          <c:showBubbleSize val="0"/>
        </c:dLbls>
        <c:axId val="1184863760"/>
        <c:axId val="1184864720"/>
      </c:scatterChart>
      <c:valAx>
        <c:axId val="1184863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000" b="0" i="0" u="none" strike="noStrike" baseline="0"/>
                  <a:t>Margin Period of Risk (days)</a:t>
                </a:r>
                <a:endParaRPr lang="es-E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4720"/>
        <c:crosses val="autoZero"/>
        <c:crossBetween val="midCat"/>
      </c:valAx>
      <c:valAx>
        <c:axId val="1184864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Initial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84863760"/>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581025</xdr:colOff>
      <xdr:row>5</xdr:row>
      <xdr:rowOff>57149</xdr:rowOff>
    </xdr:from>
    <xdr:to>
      <xdr:col>16</xdr:col>
      <xdr:colOff>371475</xdr:colOff>
      <xdr:row>44</xdr:row>
      <xdr:rowOff>95250</xdr:rowOff>
    </xdr:to>
    <xdr:sp macro="" textlink="">
      <xdr:nvSpPr>
        <xdr:cNvPr id="2" name="TextBox 1">
          <a:extLst>
            <a:ext uri="{FF2B5EF4-FFF2-40B4-BE49-F238E27FC236}">
              <a16:creationId xmlns:a16="http://schemas.microsoft.com/office/drawing/2014/main" id="{8340E1D4-B591-B27E-D419-61D8FA4D08FD}"/>
            </a:ext>
          </a:extLst>
        </xdr:cNvPr>
        <xdr:cNvSpPr txBox="1"/>
      </xdr:nvSpPr>
      <xdr:spPr>
        <a:xfrm>
          <a:off x="2417989" y="1091292"/>
          <a:ext cx="7750629" cy="746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Objective</a:t>
          </a:r>
          <a:br>
            <a:rPr lang="es-ES"/>
          </a:br>
          <a:br>
            <a:rPr lang="es-ES"/>
          </a:br>
          <a:r>
            <a:rPr lang="es-ES"/>
            <a:t>The objective of this project is to better understand how collateral and margining mechanisms work in OTC derivatives. In particular, the project focuses on counterparty risk, variation margin, initial margin and the liquidity pressure that may arise when collateral has to be posted under stressed market conditions.</a:t>
          </a:r>
          <a:br>
            <a:rPr lang="es-ES"/>
          </a:br>
          <a:br>
            <a:rPr lang="es-ES"/>
          </a:br>
          <a:r>
            <a:rPr lang="es-ES"/>
            <a:t>Collateral is designed to reduce counterparty risk by limiting the accumulation of unpaid exposures. However, as seen during periods of market stress, margin calls can also create liquidity pressure. This project therefore explores both sides of collateralisation: its role as a protection mechanism and its potential cost in terms of liquidity.</a:t>
          </a:r>
          <a:br>
            <a:rPr lang="es-ES"/>
          </a:br>
          <a:br>
            <a:rPr lang="es-ES"/>
          </a:br>
          <a:r>
            <a:rPr lang="es-ES" b="1"/>
            <a:t>Hypothesis</a:t>
          </a:r>
          <a:br>
            <a:rPr lang="es-ES"/>
          </a:br>
          <a:br>
            <a:rPr lang="es-ES"/>
          </a:br>
          <a:r>
            <a:rPr lang="es-ES"/>
            <a:t>The central hypothesis of this project is that collateral reduces counterparty credit risk, but does not eliminate risk entirely. Instead, part of the risk may be transformed into liquidity risk, especially when market volatility increases and margin calls become larger or more frequent.</a:t>
          </a:r>
          <a:br>
            <a:rPr lang="es-ES"/>
          </a:br>
          <a:br>
            <a:rPr lang="es-ES"/>
          </a:br>
          <a:r>
            <a:rPr lang="es-ES"/>
            <a:t>To test this idea, the project builds a simplified simulation of an OTC forward contract. The model analyses how the value of the derivative evolves, how daily variation margin is exchanged, how initial margin can be estimated and what happens if a counterparty defaults during the life of the trade.</a:t>
          </a:r>
          <a:br>
            <a:rPr lang="es-ES"/>
          </a:br>
          <a:br>
            <a:rPr lang="es-ES" b="1"/>
          </a:br>
          <a:r>
            <a:rPr lang="es-ES" b="1"/>
            <a:t>Key Question</a:t>
          </a:r>
          <a:br>
            <a:rPr lang="es-ES" b="1"/>
          </a:br>
          <a:br>
            <a:rPr lang="es-ES"/>
          </a:br>
          <a:r>
            <a:rPr lang="es-ES"/>
            <a:t>Does collateral fully protect against counterparty risk, or does it partly transform that risk into liquidity pressure through margin calls?</a:t>
          </a:r>
          <a:br>
            <a:rPr lang="es-ES"/>
          </a:br>
          <a:br>
            <a:rPr lang="es-ES"/>
          </a:br>
          <a:r>
            <a:rPr lang="es-ES" b="1"/>
            <a:t>Simulation Framework</a:t>
          </a:r>
        </a:p>
        <a:p>
          <a:br>
            <a:rPr lang="es-ES"/>
          </a:br>
          <a:r>
            <a:rPr lang="es-ES"/>
            <a:t>The project simulates:</a:t>
          </a:r>
          <a:br>
            <a:rPr lang="es-ES"/>
          </a:br>
          <a:br>
            <a:rPr lang="es-ES"/>
          </a:br>
          <a:r>
            <a:rPr lang="es-ES"/>
            <a:t>An underlying asset price path</a:t>
          </a:r>
          <a:br>
            <a:rPr lang="es-ES"/>
          </a:br>
          <a:r>
            <a:rPr lang="es-ES"/>
            <a:t>The mark-to-market value of a simplified forward contract</a:t>
          </a:r>
          <a:br>
            <a:rPr lang="es-ES"/>
          </a:br>
          <a:r>
            <a:rPr lang="es-ES"/>
            <a:t>Daily variation margin flows</a:t>
          </a:r>
          <a:br>
            <a:rPr lang="es-ES"/>
          </a:br>
          <a:r>
            <a:rPr lang="es-ES"/>
            <a:t>Initial margin as a collateral buffer</a:t>
          </a:r>
          <a:br>
            <a:rPr lang="es-ES"/>
          </a:br>
          <a:r>
            <a:rPr lang="es-ES"/>
            <a:t>A counterparty default scenario during the Margin Period of Risk</a:t>
          </a:r>
          <a:br>
            <a:rPr lang="es-ES"/>
          </a:br>
          <a:r>
            <a:rPr lang="es-ES"/>
            <a:t>The impact of volatility and margin assumptions on collateral requirements</a:t>
          </a:r>
          <a:br>
            <a:rPr lang="es-ES"/>
          </a:br>
          <a:br>
            <a:rPr lang="es-ES"/>
          </a:br>
          <a:r>
            <a:rPr lang="es-ES" b="1"/>
            <a:t>Final Outputs:</a:t>
          </a:r>
          <a:br>
            <a:rPr lang="es-ES"/>
          </a:br>
          <a:br>
            <a:rPr lang="es-ES"/>
          </a:br>
          <a:r>
            <a:rPr lang="es-ES"/>
            <a:t>The project includes:</a:t>
          </a:r>
          <a:br>
            <a:rPr lang="es-ES"/>
          </a:br>
          <a:r>
            <a:rPr lang="es-ES"/>
            <a:t>An Excel-based simulation and dashboard</a:t>
          </a:r>
          <a:br>
            <a:rPr lang="es-ES"/>
          </a:br>
          <a:r>
            <a:rPr lang="es-ES"/>
            <a:t>A Python version of the model</a:t>
          </a:r>
          <a:br>
            <a:rPr lang="es-ES"/>
          </a:br>
          <a:r>
            <a:rPr lang="es-ES"/>
            <a:t>Explanatory charts and tables</a:t>
          </a:r>
          <a:br>
            <a:rPr lang="es-ES"/>
          </a:br>
          <a:r>
            <a:rPr lang="es-ES"/>
            <a:t>A short article for LinkedIn or a personal blog</a:t>
          </a:r>
          <a:br>
            <a:rPr lang="es-ES"/>
          </a:br>
          <a:r>
            <a:rPr lang="es-ES"/>
            <a:t>A GitHub repository containing the model, documentation and main insights</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11</xdr:col>
      <xdr:colOff>771525</xdr:colOff>
      <xdr:row>3</xdr:row>
      <xdr:rowOff>276225</xdr:rowOff>
    </xdr:to>
    <xdr:sp macro="" textlink="">
      <xdr:nvSpPr>
        <xdr:cNvPr id="2" name="TextBox 1">
          <a:extLst>
            <a:ext uri="{FF2B5EF4-FFF2-40B4-BE49-F238E27FC236}">
              <a16:creationId xmlns:a16="http://schemas.microsoft.com/office/drawing/2014/main" id="{292FBEFC-7FBB-4BBE-B503-3775C5983148}"/>
            </a:ext>
          </a:extLst>
        </xdr:cNvPr>
        <xdr:cNvSpPr txBox="1"/>
      </xdr:nvSpPr>
      <xdr:spPr>
        <a:xfrm>
          <a:off x="19050" y="28575"/>
          <a:ext cx="1373505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b="1"/>
            <a:t>Inputs</a:t>
          </a:r>
          <a:endParaRPr lang="es-ES"/>
        </a:p>
        <a:p>
          <a:r>
            <a:rPr lang="es-ES"/>
            <a:t>In this section, we define the key assumptions that will be used throughout the simulation. </a:t>
          </a:r>
        </a:p>
        <a:p>
          <a:r>
            <a:rPr lang="es-ES"/>
            <a:t>These inputs represent the environment in which the model operates and determine how the underlying asset evolves, how the derivative is valued, and how the margining system behaves.</a:t>
          </a:r>
        </a:p>
        <a:p>
          <a:r>
            <a:rPr lang="es-ES"/>
            <a:t>We specify parameters related to the market, such as the initial price of the underlying asset, its volatility, and the time horizon of the simulation. In addition, we define the characteristics of the derivative position, including its notional size and general structure.</a:t>
          </a:r>
        </a:p>
        <a:p>
          <a:r>
            <a:rPr lang="es-ES"/>
            <a:t>Finally, we introduce the key parameters of the collateral framework, such as the confidence level used to estimate the initial margin and the margin period of risk. These elements will allow us to analyse how variation margin and initial margin interact under different market conditions.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49866</xdr:colOff>
      <xdr:row>3</xdr:row>
      <xdr:rowOff>21011</xdr:rowOff>
    </xdr:from>
    <xdr:to>
      <xdr:col>3</xdr:col>
      <xdr:colOff>930088</xdr:colOff>
      <xdr:row>7</xdr:row>
      <xdr:rowOff>54349</xdr:rowOff>
    </xdr:to>
    <xdr:sp macro="" textlink="">
      <xdr:nvSpPr>
        <xdr:cNvPr id="2" name="TextBox 1">
          <a:extLst>
            <a:ext uri="{FF2B5EF4-FFF2-40B4-BE49-F238E27FC236}">
              <a16:creationId xmlns:a16="http://schemas.microsoft.com/office/drawing/2014/main" id="{7F676ADC-298C-D995-1127-E8A60DB48458}"/>
            </a:ext>
          </a:extLst>
        </xdr:cNvPr>
        <xdr:cNvSpPr txBox="1"/>
      </xdr:nvSpPr>
      <xdr:spPr>
        <a:xfrm>
          <a:off x="49866" y="592511"/>
          <a:ext cx="4208369" cy="7953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simulates the daily evolution of the underlying asset price. The simulated path will later be used to calculate the mark-to-market value of the derivative, the daily variation margin and the potential loss during a default scenario.</a:t>
          </a:r>
        </a:p>
      </xdr:txBody>
    </xdr:sp>
    <xdr:clientData/>
  </xdr:twoCellAnchor>
  <xdr:twoCellAnchor>
    <xdr:from>
      <xdr:col>3</xdr:col>
      <xdr:colOff>953989</xdr:colOff>
      <xdr:row>1</xdr:row>
      <xdr:rowOff>100853</xdr:rowOff>
    </xdr:from>
    <xdr:to>
      <xdr:col>6</xdr:col>
      <xdr:colOff>145677</xdr:colOff>
      <xdr:row>9</xdr:row>
      <xdr:rowOff>128028</xdr:rowOff>
    </xdr:to>
    <xdr:cxnSp macro="">
      <xdr:nvCxnSpPr>
        <xdr:cNvPr id="16" name="Connector: Curved 15">
          <a:extLst>
            <a:ext uri="{FF2B5EF4-FFF2-40B4-BE49-F238E27FC236}">
              <a16:creationId xmlns:a16="http://schemas.microsoft.com/office/drawing/2014/main" id="{B41D2317-0D08-B4A3-AD02-FEC47AC2B6B2}"/>
            </a:ext>
          </a:extLst>
        </xdr:cNvPr>
        <xdr:cNvCxnSpPr>
          <a:cxnSpLocks/>
        </xdr:cNvCxnSpPr>
      </xdr:nvCxnSpPr>
      <xdr:spPr>
        <a:xfrm flipV="1">
          <a:off x="4282136" y="291353"/>
          <a:ext cx="2676717" cy="1551175"/>
        </a:xfrm>
        <a:prstGeom prst="curvedConnector3">
          <a:avLst>
            <a:gd name="adj1" fmla="val 5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958632</xdr:colOff>
      <xdr:row>1</xdr:row>
      <xdr:rowOff>112059</xdr:rowOff>
    </xdr:from>
    <xdr:to>
      <xdr:col>7</xdr:col>
      <xdr:colOff>78441</xdr:colOff>
      <xdr:row>16</xdr:row>
      <xdr:rowOff>3923</xdr:rowOff>
    </xdr:to>
    <xdr:cxnSp macro="">
      <xdr:nvCxnSpPr>
        <xdr:cNvPr id="19" name="Connector: Curved 18">
          <a:extLst>
            <a:ext uri="{FF2B5EF4-FFF2-40B4-BE49-F238E27FC236}">
              <a16:creationId xmlns:a16="http://schemas.microsoft.com/office/drawing/2014/main" id="{A351B75B-6E9C-4298-A146-C03D889A16BF}"/>
            </a:ext>
          </a:extLst>
        </xdr:cNvPr>
        <xdr:cNvCxnSpPr>
          <a:cxnSpLocks/>
        </xdr:cNvCxnSpPr>
      </xdr:nvCxnSpPr>
      <xdr:spPr>
        <a:xfrm flipV="1">
          <a:off x="4286779" y="302559"/>
          <a:ext cx="3714221" cy="2749364"/>
        </a:xfrm>
        <a:prstGeom prst="curvedConnector3">
          <a:avLst>
            <a:gd name="adj1" fmla="val 5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481853</xdr:colOff>
      <xdr:row>1</xdr:row>
      <xdr:rowOff>56030</xdr:rowOff>
    </xdr:from>
    <xdr:to>
      <xdr:col>15</xdr:col>
      <xdr:colOff>56029</xdr:colOff>
      <xdr:row>24</xdr:row>
      <xdr:rowOff>156882</xdr:rowOff>
    </xdr:to>
    <xdr:graphicFrame macro="">
      <xdr:nvGraphicFramePr>
        <xdr:cNvPr id="22" name="Chart 21">
          <a:extLst>
            <a:ext uri="{FF2B5EF4-FFF2-40B4-BE49-F238E27FC236}">
              <a16:creationId xmlns:a16="http://schemas.microsoft.com/office/drawing/2014/main" id="{163B8868-2CA0-4F68-B4A9-3830EECFB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124809</xdr:rowOff>
    </xdr:from>
    <xdr:to>
      <xdr:col>3</xdr:col>
      <xdr:colOff>821120</xdr:colOff>
      <xdr:row>11</xdr:row>
      <xdr:rowOff>118240</xdr:rowOff>
    </xdr:to>
    <xdr:sp macro="" textlink="">
      <xdr:nvSpPr>
        <xdr:cNvPr id="31" name="TextBox 30">
          <a:extLst>
            <a:ext uri="{FF2B5EF4-FFF2-40B4-BE49-F238E27FC236}">
              <a16:creationId xmlns:a16="http://schemas.microsoft.com/office/drawing/2014/main" id="{EA70B6F5-CCDF-2312-A0F6-D218EFC6F226}"/>
            </a:ext>
          </a:extLst>
        </xdr:cNvPr>
        <xdr:cNvSpPr txBox="1"/>
      </xdr:nvSpPr>
      <xdr:spPr>
        <a:xfrm>
          <a:off x="0" y="1458309"/>
          <a:ext cx="4171292" cy="755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formula simulates the price of an asset using Geometric Brownian Motion, which is a classic model for simulating financial prices.</a:t>
          </a:r>
        </a:p>
      </xdr:txBody>
    </xdr:sp>
    <xdr:clientData/>
  </xdr:twoCellAnchor>
  <xdr:twoCellAnchor editAs="oneCell">
    <xdr:from>
      <xdr:col>1</xdr:col>
      <xdr:colOff>98534</xdr:colOff>
      <xdr:row>9</xdr:row>
      <xdr:rowOff>130859</xdr:rowOff>
    </xdr:from>
    <xdr:to>
      <xdr:col>2</xdr:col>
      <xdr:colOff>932793</xdr:colOff>
      <xdr:row>11</xdr:row>
      <xdr:rowOff>78519</xdr:rowOff>
    </xdr:to>
    <xdr:pic>
      <xdr:nvPicPr>
        <xdr:cNvPr id="30" name="Picture 29">
          <a:extLst>
            <a:ext uri="{FF2B5EF4-FFF2-40B4-BE49-F238E27FC236}">
              <a16:creationId xmlns:a16="http://schemas.microsoft.com/office/drawing/2014/main" id="{C5619660-D3D7-2E88-B57C-606E31CACF06}"/>
            </a:ext>
          </a:extLst>
        </xdr:cNvPr>
        <xdr:cNvPicPr>
          <a:picLocks noChangeAspect="1"/>
        </xdr:cNvPicPr>
      </xdr:nvPicPr>
      <xdr:blipFill>
        <a:blip xmlns:r="http://schemas.openxmlformats.org/officeDocument/2006/relationships" r:embed="rId2"/>
        <a:stretch>
          <a:fillRect/>
        </a:stretch>
      </xdr:blipFill>
      <xdr:spPr>
        <a:xfrm>
          <a:off x="1215258" y="1845359"/>
          <a:ext cx="1950983" cy="328660"/>
        </a:xfrm>
        <a:prstGeom prst="rect">
          <a:avLst/>
        </a:prstGeom>
      </xdr:spPr>
    </xdr:pic>
    <xdr:clientData/>
  </xdr:twoCellAnchor>
  <xdr:twoCellAnchor>
    <xdr:from>
      <xdr:col>0</xdr:col>
      <xdr:colOff>0</xdr:colOff>
      <xdr:row>12</xdr:row>
      <xdr:rowOff>98535</xdr:rowOff>
    </xdr:from>
    <xdr:to>
      <xdr:col>3</xdr:col>
      <xdr:colOff>926224</xdr:colOff>
      <xdr:row>25</xdr:row>
      <xdr:rowOff>13139</xdr:rowOff>
    </xdr:to>
    <xdr:sp macro="" textlink="">
      <xdr:nvSpPr>
        <xdr:cNvPr id="32" name="TextBox 31">
          <a:extLst>
            <a:ext uri="{FF2B5EF4-FFF2-40B4-BE49-F238E27FC236}">
              <a16:creationId xmlns:a16="http://schemas.microsoft.com/office/drawing/2014/main" id="{7D048BA2-1A6A-D100-C333-A794A64D4666}"/>
            </a:ext>
          </a:extLst>
        </xdr:cNvPr>
        <xdr:cNvSpPr txBox="1"/>
      </xdr:nvSpPr>
      <xdr:spPr>
        <a:xfrm>
          <a:off x="0" y="2384535"/>
          <a:ext cx="4276396" cy="2391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new price = yesterday's price × e^(daily return)</a:t>
          </a:r>
        </a:p>
        <a:p>
          <a:endParaRPr lang="es-ES" sz="1100"/>
        </a:p>
        <a:p>
          <a:r>
            <a:rPr lang="es-ES" sz="1100"/>
            <a:t>In this example:</a:t>
          </a:r>
        </a:p>
        <a:p>
          <a:r>
            <a:rPr lang="es-ES" sz="1100"/>
            <a:t>D11 = yesterday's price, for example 100</a:t>
          </a:r>
        </a:p>
        <a:p>
          <a:r>
            <a:rPr lang="es-ES" sz="1100"/>
            <a:t>C12 = simulated daily return, for example 0.000529</a:t>
          </a:r>
        </a:p>
        <a:p>
          <a:r>
            <a:rPr lang="es-ES" sz="1100"/>
            <a:t>EXP(C12) = e^0.000529 </a:t>
          </a:r>
        </a:p>
        <a:p>
          <a:r>
            <a:rPr lang="es-ES" sz="1100"/>
            <a:t>D12 = new asset price</a:t>
          </a:r>
        </a:p>
        <a:p>
          <a:r>
            <a:rPr lang="es-ES" sz="1100"/>
            <a:t>The idea is that the price is not updated by adding the return, but by multiplying by the exponential of the return.</a:t>
          </a:r>
        </a:p>
        <a:p>
          <a:endParaRPr lang="es-ES" sz="1100"/>
        </a:p>
        <a:p>
          <a:endParaRPr lang="es-ES" sz="1100"/>
        </a:p>
      </xdr:txBody>
    </xdr:sp>
    <xdr:clientData/>
  </xdr:twoCellAnchor>
  <xdr:twoCellAnchor editAs="oneCell">
    <xdr:from>
      <xdr:col>0</xdr:col>
      <xdr:colOff>906517</xdr:colOff>
      <xdr:row>21</xdr:row>
      <xdr:rowOff>118243</xdr:rowOff>
    </xdr:from>
    <xdr:to>
      <xdr:col>2</xdr:col>
      <xdr:colOff>104787</xdr:colOff>
      <xdr:row>23</xdr:row>
      <xdr:rowOff>91967</xdr:rowOff>
    </xdr:to>
    <xdr:pic>
      <xdr:nvPicPr>
        <xdr:cNvPr id="33" name="Picture 32">
          <a:extLst>
            <a:ext uri="{FF2B5EF4-FFF2-40B4-BE49-F238E27FC236}">
              <a16:creationId xmlns:a16="http://schemas.microsoft.com/office/drawing/2014/main" id="{3EF26A3B-A58F-0157-9975-50C85D03198E}"/>
            </a:ext>
          </a:extLst>
        </xdr:cNvPr>
        <xdr:cNvPicPr>
          <a:picLocks noChangeAspect="1"/>
        </xdr:cNvPicPr>
      </xdr:nvPicPr>
      <xdr:blipFill>
        <a:blip xmlns:r="http://schemas.openxmlformats.org/officeDocument/2006/relationships" r:embed="rId3"/>
        <a:stretch>
          <a:fillRect/>
        </a:stretch>
      </xdr:blipFill>
      <xdr:spPr>
        <a:xfrm>
          <a:off x="906517" y="4118743"/>
          <a:ext cx="1431718" cy="3547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145677</xdr:colOff>
      <xdr:row>4</xdr:row>
      <xdr:rowOff>98612</xdr:rowOff>
    </xdr:from>
    <xdr:to>
      <xdr:col>5</xdr:col>
      <xdr:colOff>634351</xdr:colOff>
      <xdr:row>8</xdr:row>
      <xdr:rowOff>163216</xdr:rowOff>
    </xdr:to>
    <xdr:sp macro="" textlink="">
      <xdr:nvSpPr>
        <xdr:cNvPr id="2" name="TextBox 1">
          <a:extLst>
            <a:ext uri="{FF2B5EF4-FFF2-40B4-BE49-F238E27FC236}">
              <a16:creationId xmlns:a16="http://schemas.microsoft.com/office/drawing/2014/main" id="{A39FF9B0-54E5-E0D9-6C21-1BF7C6A1942A}"/>
            </a:ext>
          </a:extLst>
        </xdr:cNvPr>
        <xdr:cNvSpPr txBox="1"/>
      </xdr:nvSpPr>
      <xdr:spPr>
        <a:xfrm>
          <a:off x="145677" y="860612"/>
          <a:ext cx="5363233" cy="826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calculates the daily mark-to-market value of a simplified forward contract and the corresponding variation margin. The mark-to-market represents the current value of the derivative position, while the variation margin reflects the daily collateral exchanged to offset changes in that value.</a:t>
          </a:r>
        </a:p>
      </xdr:txBody>
    </xdr:sp>
    <xdr:clientData/>
  </xdr:twoCellAnchor>
  <xdr:twoCellAnchor>
    <xdr:from>
      <xdr:col>12</xdr:col>
      <xdr:colOff>502023</xdr:colOff>
      <xdr:row>15</xdr:row>
      <xdr:rowOff>73397</xdr:rowOff>
    </xdr:from>
    <xdr:to>
      <xdr:col>20</xdr:col>
      <xdr:colOff>291353</xdr:colOff>
      <xdr:row>33</xdr:row>
      <xdr:rowOff>78440</xdr:rowOff>
    </xdr:to>
    <xdr:graphicFrame macro="">
      <xdr:nvGraphicFramePr>
        <xdr:cNvPr id="12" name="Chart 11">
          <a:extLst>
            <a:ext uri="{FF2B5EF4-FFF2-40B4-BE49-F238E27FC236}">
              <a16:creationId xmlns:a16="http://schemas.microsoft.com/office/drawing/2014/main" id="{5DA32525-BF76-4338-A70B-A5FA1A203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425823</xdr:colOff>
      <xdr:row>1</xdr:row>
      <xdr:rowOff>105896</xdr:rowOff>
    </xdr:from>
    <xdr:to>
      <xdr:col>20</xdr:col>
      <xdr:colOff>340098</xdr:colOff>
      <xdr:row>14</xdr:row>
      <xdr:rowOff>163046</xdr:rowOff>
    </xdr:to>
    <xdr:graphicFrame macro="">
      <xdr:nvGraphicFramePr>
        <xdr:cNvPr id="14" name="Chart 13">
          <a:extLst>
            <a:ext uri="{FF2B5EF4-FFF2-40B4-BE49-F238E27FC236}">
              <a16:creationId xmlns:a16="http://schemas.microsoft.com/office/drawing/2014/main" id="{1B01AC9A-946E-4E37-A74C-117635D7F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481853</xdr:colOff>
      <xdr:row>1</xdr:row>
      <xdr:rowOff>107674</xdr:rowOff>
    </xdr:from>
    <xdr:to>
      <xdr:col>9</xdr:col>
      <xdr:colOff>107674</xdr:colOff>
      <xdr:row>17</xdr:row>
      <xdr:rowOff>11206</xdr:rowOff>
    </xdr:to>
    <xdr:cxnSp macro="">
      <xdr:nvCxnSpPr>
        <xdr:cNvPr id="17" name="Connector: Curved 16">
          <a:extLst>
            <a:ext uri="{FF2B5EF4-FFF2-40B4-BE49-F238E27FC236}">
              <a16:creationId xmlns:a16="http://schemas.microsoft.com/office/drawing/2014/main" id="{FBE0A25D-C13B-A59A-21BF-F83007976F23}"/>
            </a:ext>
          </a:extLst>
        </xdr:cNvPr>
        <xdr:cNvCxnSpPr>
          <a:cxnSpLocks/>
        </xdr:cNvCxnSpPr>
      </xdr:nvCxnSpPr>
      <xdr:spPr>
        <a:xfrm flipV="1">
          <a:off x="5356412" y="298174"/>
          <a:ext cx="3693556" cy="2951532"/>
        </a:xfrm>
        <a:prstGeom prst="curvedConnector3">
          <a:avLst>
            <a:gd name="adj1" fmla="val 50000"/>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493059</xdr:colOff>
      <xdr:row>1</xdr:row>
      <xdr:rowOff>115957</xdr:rowOff>
    </xdr:from>
    <xdr:to>
      <xdr:col>11</xdr:col>
      <xdr:colOff>66261</xdr:colOff>
      <xdr:row>22</xdr:row>
      <xdr:rowOff>140073</xdr:rowOff>
    </xdr:to>
    <xdr:cxnSp macro="">
      <xdr:nvCxnSpPr>
        <xdr:cNvPr id="19" name="Connector: Curved 18">
          <a:extLst>
            <a:ext uri="{FF2B5EF4-FFF2-40B4-BE49-F238E27FC236}">
              <a16:creationId xmlns:a16="http://schemas.microsoft.com/office/drawing/2014/main" id="{38E1508E-A53A-4397-B771-6F5EEFED31C3}"/>
            </a:ext>
          </a:extLst>
        </xdr:cNvPr>
        <xdr:cNvCxnSpPr>
          <a:cxnSpLocks/>
          <a:stCxn id="24" idx="3"/>
        </xdr:cNvCxnSpPr>
      </xdr:nvCxnSpPr>
      <xdr:spPr>
        <a:xfrm flipV="1">
          <a:off x="5367618" y="306457"/>
          <a:ext cx="5848496" cy="4024616"/>
        </a:xfrm>
        <a:prstGeom prst="curvedConnector3">
          <a:avLst>
            <a:gd name="adj1" fmla="val 50000"/>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190500</xdr:colOff>
      <xdr:row>10</xdr:row>
      <xdr:rowOff>145675</xdr:rowOff>
    </xdr:from>
    <xdr:to>
      <xdr:col>5</xdr:col>
      <xdr:colOff>493059</xdr:colOff>
      <xdr:row>34</xdr:row>
      <xdr:rowOff>134470</xdr:rowOff>
    </xdr:to>
    <xdr:sp macro="" textlink="">
      <xdr:nvSpPr>
        <xdr:cNvPr id="24" name="TextBox 23">
          <a:extLst>
            <a:ext uri="{FF2B5EF4-FFF2-40B4-BE49-F238E27FC236}">
              <a16:creationId xmlns:a16="http://schemas.microsoft.com/office/drawing/2014/main" id="{CB3EE0DF-60F2-E6A7-FAD4-B7C3C55B0371}"/>
            </a:ext>
          </a:extLst>
        </xdr:cNvPr>
        <xdr:cNvSpPr txBox="1"/>
      </xdr:nvSpPr>
      <xdr:spPr>
        <a:xfrm>
          <a:off x="190500" y="2050675"/>
          <a:ext cx="5177118" cy="4560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Mark-to-Market</a:t>
          </a:r>
        </a:p>
        <a:p>
          <a:endParaRPr lang="es-ES" sz="1100"/>
        </a:p>
        <a:p>
          <a:r>
            <a:rPr lang="es-ES" sz="1100"/>
            <a:t>This represents the current value of the forward contract for a long position.</a:t>
          </a:r>
        </a:p>
        <a:p>
          <a:endParaRPr lang="es-ES" sz="1100"/>
        </a:p>
        <a:p>
          <a:r>
            <a:rPr lang="es-ES" sz="1100"/>
            <a:t>The formula used is:</a:t>
          </a:r>
        </a:p>
        <a:p>
          <a:endParaRPr lang="es-ES" sz="1100"/>
        </a:p>
        <a:p>
          <a:endParaRPr lang="es-ES" sz="1100"/>
        </a:p>
        <a:p>
          <a:endParaRPr lang="es-ES" sz="1100"/>
        </a:p>
        <a:p>
          <a:endParaRPr lang="es-ES" sz="1100"/>
        </a:p>
        <a:p>
          <a:endParaRPr lang="es-ES" sz="1100"/>
        </a:p>
        <a:p>
          <a:r>
            <a:rPr lang="es-ES" sz="1100"/>
            <a:t>Cumulative VM = previous cumulative VM + today's variation margin</a:t>
          </a:r>
        </a:p>
        <a:p>
          <a:endParaRPr lang="es-ES" sz="1100"/>
        </a:p>
        <a:p>
          <a:r>
            <a:rPr lang="es-ES" sz="1100"/>
            <a:t>That is:</a:t>
          </a:r>
        </a:p>
        <a:p>
          <a:endParaRPr lang="es-ES" sz="1100"/>
        </a:p>
        <a:p>
          <a:endParaRPr lang="es-ES" sz="1100"/>
        </a:p>
        <a:p>
          <a:endParaRPr lang="es-ES" sz="1100"/>
        </a:p>
        <a:p>
          <a:endParaRPr lang="es-ES" sz="1100"/>
        </a:p>
        <a:p>
          <a:r>
            <a:rPr lang="es-ES" sz="1100"/>
            <a:t>When the MTM increases, variation margin is received.</a:t>
          </a:r>
        </a:p>
        <a:p>
          <a:endParaRPr lang="es-ES" sz="1100"/>
        </a:p>
        <a:p>
          <a:r>
            <a:rPr lang="es-ES" sz="1100"/>
            <a:t>When the MTM decreases, variation margin is posted.</a:t>
          </a:r>
        </a:p>
        <a:p>
          <a:endParaRPr lang="es-ES" sz="1100"/>
        </a:p>
        <a:p>
          <a:r>
            <a:rPr lang="es-ES" sz="1100"/>
            <a:t>The cumulative VM replicates the current value of the contract because the contract starts with a value of zero.</a:t>
          </a:r>
        </a:p>
      </xdr:txBody>
    </xdr:sp>
    <xdr:clientData/>
  </xdr:twoCellAnchor>
  <xdr:twoCellAnchor editAs="oneCell">
    <xdr:from>
      <xdr:col>0</xdr:col>
      <xdr:colOff>425823</xdr:colOff>
      <xdr:row>16</xdr:row>
      <xdr:rowOff>11206</xdr:rowOff>
    </xdr:from>
    <xdr:to>
      <xdr:col>4</xdr:col>
      <xdr:colOff>93027</xdr:colOff>
      <xdr:row>19</xdr:row>
      <xdr:rowOff>156884</xdr:rowOff>
    </xdr:to>
    <xdr:pic>
      <xdr:nvPicPr>
        <xdr:cNvPr id="25" name="Picture 24">
          <a:extLst>
            <a:ext uri="{FF2B5EF4-FFF2-40B4-BE49-F238E27FC236}">
              <a16:creationId xmlns:a16="http://schemas.microsoft.com/office/drawing/2014/main" id="{1FDB9373-B3F6-D55D-6C46-690082E23475}"/>
            </a:ext>
          </a:extLst>
        </xdr:cNvPr>
        <xdr:cNvPicPr>
          <a:picLocks noChangeAspect="1"/>
        </xdr:cNvPicPr>
      </xdr:nvPicPr>
      <xdr:blipFill>
        <a:blip xmlns:r="http://schemas.openxmlformats.org/officeDocument/2006/relationships" r:embed="rId3"/>
        <a:stretch>
          <a:fillRect/>
        </a:stretch>
      </xdr:blipFill>
      <xdr:spPr>
        <a:xfrm>
          <a:off x="425823" y="3059206"/>
          <a:ext cx="3566851" cy="717178"/>
        </a:xfrm>
        <a:prstGeom prst="rect">
          <a:avLst/>
        </a:prstGeom>
      </xdr:spPr>
    </xdr:pic>
    <xdr:clientData/>
  </xdr:twoCellAnchor>
  <xdr:twoCellAnchor editAs="oneCell">
    <xdr:from>
      <xdr:col>0</xdr:col>
      <xdr:colOff>336175</xdr:colOff>
      <xdr:row>22</xdr:row>
      <xdr:rowOff>145675</xdr:rowOff>
    </xdr:from>
    <xdr:to>
      <xdr:col>5</xdr:col>
      <xdr:colOff>81811</xdr:colOff>
      <xdr:row>25</xdr:row>
      <xdr:rowOff>44824</xdr:rowOff>
    </xdr:to>
    <xdr:pic>
      <xdr:nvPicPr>
        <xdr:cNvPr id="26" name="Picture 25">
          <a:extLst>
            <a:ext uri="{FF2B5EF4-FFF2-40B4-BE49-F238E27FC236}">
              <a16:creationId xmlns:a16="http://schemas.microsoft.com/office/drawing/2014/main" id="{1A784763-2D74-E8C0-6944-3C79AF843B85}"/>
            </a:ext>
          </a:extLst>
        </xdr:cNvPr>
        <xdr:cNvPicPr>
          <a:picLocks noChangeAspect="1"/>
        </xdr:cNvPicPr>
      </xdr:nvPicPr>
      <xdr:blipFill rotWithShape="1">
        <a:blip xmlns:r="http://schemas.openxmlformats.org/officeDocument/2006/relationships" r:embed="rId4"/>
        <a:srcRect t="22857"/>
        <a:stretch>
          <a:fillRect/>
        </a:stretch>
      </xdr:blipFill>
      <xdr:spPr>
        <a:xfrm>
          <a:off x="336175" y="4336675"/>
          <a:ext cx="4620195" cy="4706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374852</xdr:colOff>
      <xdr:row>4</xdr:row>
      <xdr:rowOff>25892</xdr:rowOff>
    </xdr:from>
    <xdr:to>
      <xdr:col>4</xdr:col>
      <xdr:colOff>1879177</xdr:colOff>
      <xdr:row>6</xdr:row>
      <xdr:rowOff>168575</xdr:rowOff>
    </xdr:to>
    <xdr:sp macro="" textlink="">
      <xdr:nvSpPr>
        <xdr:cNvPr id="3" name="TextBox 2">
          <a:extLst>
            <a:ext uri="{FF2B5EF4-FFF2-40B4-BE49-F238E27FC236}">
              <a16:creationId xmlns:a16="http://schemas.microsoft.com/office/drawing/2014/main" id="{59D014F4-F260-43B2-9D41-5B1A3E85A552}"/>
            </a:ext>
          </a:extLst>
        </xdr:cNvPr>
        <xdr:cNvSpPr txBox="1"/>
      </xdr:nvSpPr>
      <xdr:spPr>
        <a:xfrm>
          <a:off x="374852" y="787892"/>
          <a:ext cx="10289737" cy="5236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estimates the initial margin required to protect against potential losses during the Margin Period of Risk. Unlike variation margin, which reflects daily changes in mark-to-market value, initial margin acts as a risk buffer in case the counterparty defaults and the position cannot be closed immediately.</a:t>
          </a:r>
        </a:p>
      </xdr:txBody>
    </xdr:sp>
    <xdr:clientData/>
  </xdr:twoCellAnchor>
  <xdr:twoCellAnchor>
    <xdr:from>
      <xdr:col>3</xdr:col>
      <xdr:colOff>1202440</xdr:colOff>
      <xdr:row>20</xdr:row>
      <xdr:rowOff>112059</xdr:rowOff>
    </xdr:from>
    <xdr:to>
      <xdr:col>3</xdr:col>
      <xdr:colOff>3160059</xdr:colOff>
      <xdr:row>30</xdr:row>
      <xdr:rowOff>99635</xdr:rowOff>
    </xdr:to>
    <xdr:cxnSp macro="">
      <xdr:nvCxnSpPr>
        <xdr:cNvPr id="9" name="Connector: Curved 8">
          <a:extLst>
            <a:ext uri="{FF2B5EF4-FFF2-40B4-BE49-F238E27FC236}">
              <a16:creationId xmlns:a16="http://schemas.microsoft.com/office/drawing/2014/main" id="{ADA7D1D3-3237-04D9-5A18-91BFFE7F6369}"/>
            </a:ext>
          </a:extLst>
        </xdr:cNvPr>
        <xdr:cNvCxnSpPr>
          <a:cxnSpLocks/>
          <a:stCxn id="42" idx="3"/>
        </xdr:cNvCxnSpPr>
      </xdr:nvCxnSpPr>
      <xdr:spPr>
        <a:xfrm flipV="1">
          <a:off x="6659705" y="3922059"/>
          <a:ext cx="1957619" cy="1892576"/>
        </a:xfrm>
        <a:prstGeom prst="curvedConnector3">
          <a:avLst>
            <a:gd name="adj1" fmla="val 5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78441</xdr:colOff>
      <xdr:row>13</xdr:row>
      <xdr:rowOff>56029</xdr:rowOff>
    </xdr:from>
    <xdr:to>
      <xdr:col>3</xdr:col>
      <xdr:colOff>3260911</xdr:colOff>
      <xdr:row>19</xdr:row>
      <xdr:rowOff>78441</xdr:rowOff>
    </xdr:to>
    <xdr:cxnSp macro="">
      <xdr:nvCxnSpPr>
        <xdr:cNvPr id="14" name="Connector: Curved 13">
          <a:extLst>
            <a:ext uri="{FF2B5EF4-FFF2-40B4-BE49-F238E27FC236}">
              <a16:creationId xmlns:a16="http://schemas.microsoft.com/office/drawing/2014/main" id="{08F88BBA-3099-66EB-4C7B-170EBF8FB73B}"/>
            </a:ext>
          </a:extLst>
        </xdr:cNvPr>
        <xdr:cNvCxnSpPr>
          <a:cxnSpLocks/>
        </xdr:cNvCxnSpPr>
      </xdr:nvCxnSpPr>
      <xdr:spPr>
        <a:xfrm>
          <a:off x="5535706" y="2532529"/>
          <a:ext cx="3182470" cy="116541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344945</xdr:colOff>
      <xdr:row>7</xdr:row>
      <xdr:rowOff>146650</xdr:rowOff>
    </xdr:from>
    <xdr:to>
      <xdr:col>3</xdr:col>
      <xdr:colOff>14128</xdr:colOff>
      <xdr:row>19</xdr:row>
      <xdr:rowOff>22411</xdr:rowOff>
    </xdr:to>
    <xdr:sp macro="" textlink="">
      <xdr:nvSpPr>
        <xdr:cNvPr id="39" name="TextBox 38">
          <a:extLst>
            <a:ext uri="{FF2B5EF4-FFF2-40B4-BE49-F238E27FC236}">
              <a16:creationId xmlns:a16="http://schemas.microsoft.com/office/drawing/2014/main" id="{E09F3E93-2A37-7546-8AD4-3E44EED0E349}"/>
            </a:ext>
          </a:extLst>
        </xdr:cNvPr>
        <xdr:cNvSpPr txBox="1"/>
      </xdr:nvSpPr>
      <xdr:spPr>
        <a:xfrm>
          <a:off x="344945" y="1480150"/>
          <a:ext cx="5126448" cy="216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Daily MTM Volatility</a:t>
          </a:r>
        </a:p>
        <a:p>
          <a:endParaRPr lang="es-ES" sz="1100"/>
        </a:p>
        <a:p>
          <a:r>
            <a:rPr lang="es-ES" sz="1100"/>
            <a:t>Daily MTM volatility measures the volatility of daily changes in the mark-to-market value. In this model, it is calculated using the Variation Margin column, because variation margin represents the daily change in MTM.</a:t>
          </a:r>
        </a:p>
        <a:p>
          <a:endParaRPr lang="es-ES" sz="1100"/>
        </a:p>
        <a:p>
          <a:endParaRPr lang="es-ES" sz="1100"/>
        </a:p>
        <a:p>
          <a:endParaRPr lang="es-ES" sz="1100"/>
        </a:p>
        <a:p>
          <a:r>
            <a:rPr lang="es-ES" sz="1100"/>
            <a:t>Therefore:</a:t>
          </a:r>
        </a:p>
        <a:p>
          <a:endParaRPr lang="es-ES" sz="1100"/>
        </a:p>
      </xdr:txBody>
    </xdr:sp>
    <xdr:clientData/>
  </xdr:twoCellAnchor>
  <xdr:twoCellAnchor editAs="oneCell">
    <xdr:from>
      <xdr:col>0</xdr:col>
      <xdr:colOff>868213</xdr:colOff>
      <xdr:row>13</xdr:row>
      <xdr:rowOff>19489</xdr:rowOff>
    </xdr:from>
    <xdr:to>
      <xdr:col>1</xdr:col>
      <xdr:colOff>1873819</xdr:colOff>
      <xdr:row>14</xdr:row>
      <xdr:rowOff>171196</xdr:rowOff>
    </xdr:to>
    <xdr:pic>
      <xdr:nvPicPr>
        <xdr:cNvPr id="40" name="Picture 39">
          <a:extLst>
            <a:ext uri="{FF2B5EF4-FFF2-40B4-BE49-F238E27FC236}">
              <a16:creationId xmlns:a16="http://schemas.microsoft.com/office/drawing/2014/main" id="{528DA25B-6053-DE17-455E-9C01CA8E638E}"/>
            </a:ext>
          </a:extLst>
        </xdr:cNvPr>
        <xdr:cNvPicPr>
          <a:picLocks noChangeAspect="1"/>
        </xdr:cNvPicPr>
      </xdr:nvPicPr>
      <xdr:blipFill>
        <a:blip xmlns:r="http://schemas.openxmlformats.org/officeDocument/2006/relationships" r:embed="rId1"/>
        <a:stretch>
          <a:fillRect/>
        </a:stretch>
      </xdr:blipFill>
      <xdr:spPr>
        <a:xfrm>
          <a:off x="868213" y="2495989"/>
          <a:ext cx="2305488" cy="342207"/>
        </a:xfrm>
        <a:prstGeom prst="rect">
          <a:avLst/>
        </a:prstGeom>
      </xdr:spPr>
    </xdr:pic>
    <xdr:clientData/>
  </xdr:twoCellAnchor>
  <xdr:twoCellAnchor editAs="oneCell">
    <xdr:from>
      <xdr:col>0</xdr:col>
      <xdr:colOff>753719</xdr:colOff>
      <xdr:row>16</xdr:row>
      <xdr:rowOff>111571</xdr:rowOff>
    </xdr:from>
    <xdr:to>
      <xdr:col>2</xdr:col>
      <xdr:colOff>313279</xdr:colOff>
      <xdr:row>18</xdr:row>
      <xdr:rowOff>152083</xdr:rowOff>
    </xdr:to>
    <xdr:pic>
      <xdr:nvPicPr>
        <xdr:cNvPr id="41" name="Picture 40">
          <a:extLst>
            <a:ext uri="{FF2B5EF4-FFF2-40B4-BE49-F238E27FC236}">
              <a16:creationId xmlns:a16="http://schemas.microsoft.com/office/drawing/2014/main" id="{2DBBF9A7-E1E7-12B8-C38B-74D3A539B887}"/>
            </a:ext>
          </a:extLst>
        </xdr:cNvPr>
        <xdr:cNvPicPr>
          <a:picLocks noChangeAspect="1"/>
        </xdr:cNvPicPr>
      </xdr:nvPicPr>
      <xdr:blipFill>
        <a:blip xmlns:r="http://schemas.openxmlformats.org/officeDocument/2006/relationships" r:embed="rId2"/>
        <a:stretch>
          <a:fillRect/>
        </a:stretch>
      </xdr:blipFill>
      <xdr:spPr>
        <a:xfrm>
          <a:off x="753719" y="3159571"/>
          <a:ext cx="2910119" cy="421512"/>
        </a:xfrm>
        <a:prstGeom prst="rect">
          <a:avLst/>
        </a:prstGeom>
      </xdr:spPr>
    </xdr:pic>
    <xdr:clientData/>
  </xdr:twoCellAnchor>
  <xdr:twoCellAnchor>
    <xdr:from>
      <xdr:col>0</xdr:col>
      <xdr:colOff>285020</xdr:colOff>
      <xdr:row>20</xdr:row>
      <xdr:rowOff>112059</xdr:rowOff>
    </xdr:from>
    <xdr:to>
      <xdr:col>3</xdr:col>
      <xdr:colOff>1202440</xdr:colOff>
      <xdr:row>40</xdr:row>
      <xdr:rowOff>87211</xdr:rowOff>
    </xdr:to>
    <xdr:sp macro="" textlink="">
      <xdr:nvSpPr>
        <xdr:cNvPr id="42" name="TextBox 41">
          <a:extLst>
            <a:ext uri="{FF2B5EF4-FFF2-40B4-BE49-F238E27FC236}">
              <a16:creationId xmlns:a16="http://schemas.microsoft.com/office/drawing/2014/main" id="{9CADDBC2-0E0D-B6E8-B291-3AB2C06AD7C2}"/>
            </a:ext>
          </a:extLst>
        </xdr:cNvPr>
        <xdr:cNvSpPr txBox="1"/>
      </xdr:nvSpPr>
      <xdr:spPr>
        <a:xfrm>
          <a:off x="285020" y="3922059"/>
          <a:ext cx="6374685" cy="3785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Initial Margin</a:t>
          </a:r>
        </a:p>
        <a:p>
          <a:endParaRPr lang="es-ES" sz="1100"/>
        </a:p>
        <a:p>
          <a:r>
            <a:rPr lang="es-ES" sz="1100"/>
            <a:t>Variation margin covers the daily change in the value of the contract. However, if the counterparty defaults, the position may not be closed immediately.</a:t>
          </a:r>
        </a:p>
        <a:p>
          <a:endParaRPr lang="es-ES" sz="1100"/>
        </a:p>
        <a:p>
          <a:r>
            <a:rPr lang="es-ES" sz="1100"/>
            <a:t>This delay is called the Margin Period of Risk. In this model, it is assumed to be 10 days.</a:t>
          </a:r>
        </a:p>
        <a:p>
          <a:endParaRPr lang="es-ES" sz="1100"/>
        </a:p>
        <a:p>
          <a:r>
            <a:rPr lang="es-ES" sz="1100"/>
            <a:t>Initial margin acts as a collateral buffer designed to cover potential losses during this period.</a:t>
          </a:r>
        </a:p>
        <a:p>
          <a:endParaRPr lang="es-ES" sz="1100"/>
        </a:p>
        <a:p>
          <a:r>
            <a:rPr lang="es-ES" sz="1100"/>
            <a:t>For this simplified version, the model uses:</a:t>
          </a:r>
        </a:p>
        <a:p>
          <a:endParaRPr lang="es-ES" sz="1100"/>
        </a:p>
        <a:p>
          <a:endParaRPr lang="es-ES" sz="1100"/>
        </a:p>
        <a:p>
          <a:endParaRPr lang="es-ES" sz="1100"/>
        </a:p>
        <a:p>
          <a:endParaRPr lang="es-ES" sz="1100"/>
        </a:p>
        <a:p>
          <a:r>
            <a:rPr lang="es-ES" sz="1100"/>
            <a:t>Where:</a:t>
          </a:r>
        </a:p>
        <a:p>
          <a:endParaRPr lang="es-ES" sz="1100"/>
        </a:p>
        <a:p>
          <a:r>
            <a:rPr lang="es-ES" sz="1100"/>
            <a:t>z(99%) is the normal quantile at the 99% confidence level.</a:t>
          </a:r>
        </a:p>
        <a:p>
          <a:endParaRPr lang="es-ES" sz="1100"/>
        </a:p>
        <a:p>
          <a:r>
            <a:rPr lang="el-GR" sz="1100"/>
            <a:t>σ(Δ</a:t>
          </a:r>
          <a:r>
            <a:rPr lang="es-ES" sz="1100"/>
            <a:t>MTM) is the volatility of daily mark-to-market changes.</a:t>
          </a:r>
        </a:p>
        <a:p>
          <a:endParaRPr lang="es-ES" sz="1100"/>
        </a:p>
        <a:p>
          <a:r>
            <a:rPr lang="es-ES" sz="1100"/>
            <a:t>MPoR is the Margin Period of Risk.</a:t>
          </a:r>
        </a:p>
      </xdr:txBody>
    </xdr:sp>
    <xdr:clientData/>
  </xdr:twoCellAnchor>
  <xdr:twoCellAnchor editAs="oneCell">
    <xdr:from>
      <xdr:col>0</xdr:col>
      <xdr:colOff>354693</xdr:colOff>
      <xdr:row>30</xdr:row>
      <xdr:rowOff>73083</xdr:rowOff>
    </xdr:from>
    <xdr:to>
      <xdr:col>1</xdr:col>
      <xdr:colOff>1843945</xdr:colOff>
      <xdr:row>32</xdr:row>
      <xdr:rowOff>56517</xdr:rowOff>
    </xdr:to>
    <xdr:pic>
      <xdr:nvPicPr>
        <xdr:cNvPr id="43" name="Picture 42">
          <a:extLst>
            <a:ext uri="{FF2B5EF4-FFF2-40B4-BE49-F238E27FC236}">
              <a16:creationId xmlns:a16="http://schemas.microsoft.com/office/drawing/2014/main" id="{B4494468-0481-E59B-9840-80663E365259}"/>
            </a:ext>
          </a:extLst>
        </xdr:cNvPr>
        <xdr:cNvPicPr>
          <a:picLocks noChangeAspect="1"/>
        </xdr:cNvPicPr>
      </xdr:nvPicPr>
      <xdr:blipFill>
        <a:blip xmlns:r="http://schemas.openxmlformats.org/officeDocument/2006/relationships" r:embed="rId3"/>
        <a:stretch>
          <a:fillRect/>
        </a:stretch>
      </xdr:blipFill>
      <xdr:spPr>
        <a:xfrm>
          <a:off x="354693" y="5788083"/>
          <a:ext cx="2789134" cy="3644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180975</xdr:colOff>
      <xdr:row>2</xdr:row>
      <xdr:rowOff>142875</xdr:rowOff>
    </xdr:from>
    <xdr:to>
      <xdr:col>8</xdr:col>
      <xdr:colOff>85725</xdr:colOff>
      <xdr:row>7</xdr:row>
      <xdr:rowOff>76200</xdr:rowOff>
    </xdr:to>
    <xdr:sp macro="" textlink="">
      <xdr:nvSpPr>
        <xdr:cNvPr id="2" name="TextBox 1">
          <a:extLst>
            <a:ext uri="{FF2B5EF4-FFF2-40B4-BE49-F238E27FC236}">
              <a16:creationId xmlns:a16="http://schemas.microsoft.com/office/drawing/2014/main" id="{851B9A32-2170-7202-9DF9-867FF2C88686}"/>
            </a:ext>
          </a:extLst>
        </xdr:cNvPr>
        <xdr:cNvSpPr txBox="1"/>
      </xdr:nvSpPr>
      <xdr:spPr>
        <a:xfrm>
          <a:off x="180975" y="523875"/>
          <a:ext cx="478155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sheet analyses what happens if the counterparty defaults during the life of the derivative. The objective is to compare the potential loss during the Margin Period of Risk with the initial margin previously calculated. This helps assess whether the collateral buffer is sufficient to protect against adverse market movements after default.</a:t>
          </a:r>
        </a:p>
      </xdr:txBody>
    </xdr:sp>
    <xdr:clientData/>
  </xdr:twoCellAnchor>
  <xdr:twoCellAnchor>
    <xdr:from>
      <xdr:col>0</xdr:col>
      <xdr:colOff>179294</xdr:colOff>
      <xdr:row>8</xdr:row>
      <xdr:rowOff>44824</xdr:rowOff>
    </xdr:from>
    <xdr:to>
      <xdr:col>8</xdr:col>
      <xdr:colOff>78441</xdr:colOff>
      <xdr:row>14</xdr:row>
      <xdr:rowOff>22972</xdr:rowOff>
    </xdr:to>
    <xdr:sp macro="" textlink="">
      <xdr:nvSpPr>
        <xdr:cNvPr id="15" name="TextBox 14">
          <a:extLst>
            <a:ext uri="{FF2B5EF4-FFF2-40B4-BE49-F238E27FC236}">
              <a16:creationId xmlns:a16="http://schemas.microsoft.com/office/drawing/2014/main" id="{F52A33ED-A3EC-7BF1-CEB2-F5C06E3DCFE9}"/>
            </a:ext>
          </a:extLst>
        </xdr:cNvPr>
        <xdr:cNvSpPr txBox="1"/>
      </xdr:nvSpPr>
      <xdr:spPr>
        <a:xfrm>
          <a:off x="179294" y="1568824"/>
          <a:ext cx="7429500" cy="14909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Close-out Day</a:t>
          </a:r>
        </a:p>
        <a:p>
          <a:endParaRPr lang="es-ES" sz="1100"/>
        </a:p>
        <a:p>
          <a:r>
            <a:rPr lang="es-ES" sz="1100"/>
            <a:t>This is the day on which the position is assumed to be closed or replaced after the counterparty default.</a:t>
          </a:r>
        </a:p>
        <a:p>
          <a:endParaRPr lang="es-ES" sz="1100"/>
        </a:p>
        <a:p>
          <a:r>
            <a:rPr lang="es-ES" sz="1100"/>
            <a:t>Formula:</a:t>
          </a:r>
        </a:p>
        <a:p>
          <a:endParaRPr lang="es-ES" sz="1100"/>
        </a:p>
        <a:p>
          <a:endParaRPr lang="es-ES" sz="1100"/>
        </a:p>
        <a:p>
          <a:r>
            <a:rPr lang="es-ES" sz="1100"/>
            <a:t>If the counterparty defaults on day 180 and the MPoR is 10 days, the position is closed on day 190.</a:t>
          </a:r>
        </a:p>
      </xdr:txBody>
    </xdr:sp>
    <xdr:clientData/>
  </xdr:twoCellAnchor>
  <xdr:twoCellAnchor editAs="oneCell">
    <xdr:from>
      <xdr:col>0</xdr:col>
      <xdr:colOff>885265</xdr:colOff>
      <xdr:row>11</xdr:row>
      <xdr:rowOff>179293</xdr:rowOff>
    </xdr:from>
    <xdr:to>
      <xdr:col>2</xdr:col>
      <xdr:colOff>1512795</xdr:colOff>
      <xdr:row>12</xdr:row>
      <xdr:rowOff>258484</xdr:rowOff>
    </xdr:to>
    <xdr:pic>
      <xdr:nvPicPr>
        <xdr:cNvPr id="16" name="Picture 15">
          <a:extLst>
            <a:ext uri="{FF2B5EF4-FFF2-40B4-BE49-F238E27FC236}">
              <a16:creationId xmlns:a16="http://schemas.microsoft.com/office/drawing/2014/main" id="{7DD5A54E-3533-29B0-8690-A0CDB3CCF15A}"/>
            </a:ext>
          </a:extLst>
        </xdr:cNvPr>
        <xdr:cNvPicPr>
          <a:picLocks noChangeAspect="1"/>
        </xdr:cNvPicPr>
      </xdr:nvPicPr>
      <xdr:blipFill>
        <a:blip xmlns:r="http://schemas.openxmlformats.org/officeDocument/2006/relationships" r:embed="rId1"/>
        <a:stretch>
          <a:fillRect/>
        </a:stretch>
      </xdr:blipFill>
      <xdr:spPr>
        <a:xfrm>
          <a:off x="885265" y="2274793"/>
          <a:ext cx="3081618" cy="269691"/>
        </a:xfrm>
        <a:prstGeom prst="rect">
          <a:avLst/>
        </a:prstGeom>
      </xdr:spPr>
    </xdr:pic>
    <xdr:clientData/>
  </xdr:twoCellAnchor>
  <xdr:twoCellAnchor>
    <xdr:from>
      <xdr:col>0</xdr:col>
      <xdr:colOff>190500</xdr:colOff>
      <xdr:row>14</xdr:row>
      <xdr:rowOff>179295</xdr:rowOff>
    </xdr:from>
    <xdr:to>
      <xdr:col>8</xdr:col>
      <xdr:colOff>100853</xdr:colOff>
      <xdr:row>23</xdr:row>
      <xdr:rowOff>100853</xdr:rowOff>
    </xdr:to>
    <xdr:sp macro="" textlink="">
      <xdr:nvSpPr>
        <xdr:cNvPr id="17" name="TextBox 16">
          <a:extLst>
            <a:ext uri="{FF2B5EF4-FFF2-40B4-BE49-F238E27FC236}">
              <a16:creationId xmlns:a16="http://schemas.microsoft.com/office/drawing/2014/main" id="{ACE2B17E-B340-A38E-C907-9BDB14D99FA9}"/>
            </a:ext>
          </a:extLst>
        </xdr:cNvPr>
        <xdr:cNvSpPr txBox="1"/>
      </xdr:nvSpPr>
      <xdr:spPr>
        <a:xfrm>
          <a:off x="190500" y="3216089"/>
          <a:ext cx="7440706" cy="1636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Loss during MPoR</a:t>
          </a:r>
        </a:p>
        <a:p>
          <a:endParaRPr lang="es-ES" sz="1100"/>
        </a:p>
        <a:p>
          <a:r>
            <a:rPr lang="es-ES" sz="1100"/>
            <a:t>This represents the additional exposure generated during the Margin Period of Risk.</a:t>
          </a:r>
        </a:p>
        <a:p>
          <a:endParaRPr lang="es-ES" sz="1100"/>
        </a:p>
        <a:p>
          <a:r>
            <a:rPr lang="es-ES" sz="1100"/>
            <a:t>Formula:</a:t>
          </a:r>
        </a:p>
        <a:p>
          <a:endParaRPr lang="es-ES" sz="1100"/>
        </a:p>
        <a:p>
          <a:r>
            <a:rPr lang="es-ES" sz="1100"/>
            <a:t>Only positive increases in exposure are counted as losses. If the exposure decreases during the MPoR, the loss is set to zero.</a:t>
          </a:r>
        </a:p>
      </xdr:txBody>
    </xdr:sp>
    <xdr:clientData/>
  </xdr:twoCellAnchor>
  <xdr:twoCellAnchor editAs="oneCell">
    <xdr:from>
      <xdr:col>0</xdr:col>
      <xdr:colOff>1019736</xdr:colOff>
      <xdr:row>18</xdr:row>
      <xdr:rowOff>100854</xdr:rowOff>
    </xdr:from>
    <xdr:to>
      <xdr:col>4</xdr:col>
      <xdr:colOff>9304</xdr:colOff>
      <xdr:row>20</xdr:row>
      <xdr:rowOff>22412</xdr:rowOff>
    </xdr:to>
    <xdr:pic>
      <xdr:nvPicPr>
        <xdr:cNvPr id="18" name="Picture 17">
          <a:extLst>
            <a:ext uri="{FF2B5EF4-FFF2-40B4-BE49-F238E27FC236}">
              <a16:creationId xmlns:a16="http://schemas.microsoft.com/office/drawing/2014/main" id="{9179585A-3D1E-AFCE-49AD-D24EF92EB086}"/>
            </a:ext>
          </a:extLst>
        </xdr:cNvPr>
        <xdr:cNvPicPr>
          <a:picLocks noChangeAspect="1"/>
        </xdr:cNvPicPr>
      </xdr:nvPicPr>
      <xdr:blipFill>
        <a:blip xmlns:r="http://schemas.openxmlformats.org/officeDocument/2006/relationships" r:embed="rId2"/>
        <a:stretch>
          <a:fillRect/>
        </a:stretch>
      </xdr:blipFill>
      <xdr:spPr>
        <a:xfrm>
          <a:off x="1019736" y="3899648"/>
          <a:ext cx="4099450" cy="302558"/>
        </a:xfrm>
        <a:prstGeom prst="rect">
          <a:avLst/>
        </a:prstGeom>
      </xdr:spPr>
    </xdr:pic>
    <xdr:clientData/>
  </xdr:twoCellAnchor>
  <xdr:twoCellAnchor>
    <xdr:from>
      <xdr:col>0</xdr:col>
      <xdr:colOff>190500</xdr:colOff>
      <xdr:row>24</xdr:row>
      <xdr:rowOff>67236</xdr:rowOff>
    </xdr:from>
    <xdr:to>
      <xdr:col>8</xdr:col>
      <xdr:colOff>112059</xdr:colOff>
      <xdr:row>33</xdr:row>
      <xdr:rowOff>67236</xdr:rowOff>
    </xdr:to>
    <xdr:sp macro="" textlink="">
      <xdr:nvSpPr>
        <xdr:cNvPr id="19" name="TextBox 18">
          <a:extLst>
            <a:ext uri="{FF2B5EF4-FFF2-40B4-BE49-F238E27FC236}">
              <a16:creationId xmlns:a16="http://schemas.microsoft.com/office/drawing/2014/main" id="{2E8BB8AD-5830-A251-D497-E5E83836D2C4}"/>
            </a:ext>
          </a:extLst>
        </xdr:cNvPr>
        <xdr:cNvSpPr txBox="1"/>
      </xdr:nvSpPr>
      <xdr:spPr>
        <a:xfrm>
          <a:off x="190500" y="5009030"/>
          <a:ext cx="7451912"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Uncovered Loss</a:t>
          </a:r>
        </a:p>
        <a:p>
          <a:endParaRPr lang="es-ES" sz="1100"/>
        </a:p>
        <a:p>
          <a:r>
            <a:rPr lang="es-ES" sz="1100"/>
            <a:t>This is the part of the loss during the Margin Period of Risk that is not covered by the initial margin.</a:t>
          </a:r>
        </a:p>
        <a:p>
          <a:endParaRPr lang="es-ES" sz="1100"/>
        </a:p>
        <a:p>
          <a:r>
            <a:rPr lang="es-ES" sz="1100"/>
            <a:t>Formula:</a:t>
          </a:r>
        </a:p>
        <a:p>
          <a:endParaRPr lang="es-ES" sz="1100"/>
        </a:p>
        <a:p>
          <a:r>
            <a:rPr lang="es-ES" sz="1100"/>
            <a:t>If the initial margin is greater than the loss, the uncovered loss is zero. If the loss is greater than the initial margin, the difference remains as an uncovered loss.</a:t>
          </a:r>
        </a:p>
      </xdr:txBody>
    </xdr:sp>
    <xdr:clientData/>
  </xdr:twoCellAnchor>
  <xdr:twoCellAnchor editAs="oneCell">
    <xdr:from>
      <xdr:col>0</xdr:col>
      <xdr:colOff>896471</xdr:colOff>
      <xdr:row>28</xdr:row>
      <xdr:rowOff>22412</xdr:rowOff>
    </xdr:from>
    <xdr:to>
      <xdr:col>4</xdr:col>
      <xdr:colOff>431542</xdr:colOff>
      <xdr:row>29</xdr:row>
      <xdr:rowOff>56030</xdr:rowOff>
    </xdr:to>
    <xdr:pic>
      <xdr:nvPicPr>
        <xdr:cNvPr id="20" name="Picture 19">
          <a:extLst>
            <a:ext uri="{FF2B5EF4-FFF2-40B4-BE49-F238E27FC236}">
              <a16:creationId xmlns:a16="http://schemas.microsoft.com/office/drawing/2014/main" id="{A854D883-542D-22E5-57B1-33EFBD6453F9}"/>
            </a:ext>
          </a:extLst>
        </xdr:cNvPr>
        <xdr:cNvPicPr>
          <a:picLocks noChangeAspect="1"/>
        </xdr:cNvPicPr>
      </xdr:nvPicPr>
      <xdr:blipFill>
        <a:blip xmlns:r="http://schemas.openxmlformats.org/officeDocument/2006/relationships" r:embed="rId3"/>
        <a:stretch>
          <a:fillRect/>
        </a:stretch>
      </xdr:blipFill>
      <xdr:spPr>
        <a:xfrm>
          <a:off x="896471" y="5726206"/>
          <a:ext cx="4644953" cy="224118"/>
        </a:xfrm>
        <a:prstGeom prst="rect">
          <a:avLst/>
        </a:prstGeom>
      </xdr:spPr>
    </xdr:pic>
    <xdr:clientData/>
  </xdr:twoCellAnchor>
  <xdr:twoCellAnchor>
    <xdr:from>
      <xdr:col>8</xdr:col>
      <xdr:colOff>78441</xdr:colOff>
      <xdr:row>11</xdr:row>
      <xdr:rowOff>123545</xdr:rowOff>
    </xdr:from>
    <xdr:to>
      <xdr:col>11</xdr:col>
      <xdr:colOff>1008529</xdr:colOff>
      <xdr:row>13</xdr:row>
      <xdr:rowOff>78441</xdr:rowOff>
    </xdr:to>
    <xdr:cxnSp macro="">
      <xdr:nvCxnSpPr>
        <xdr:cNvPr id="22" name="Connector: Curved 21">
          <a:extLst>
            <a:ext uri="{FF2B5EF4-FFF2-40B4-BE49-F238E27FC236}">
              <a16:creationId xmlns:a16="http://schemas.microsoft.com/office/drawing/2014/main" id="{CD605946-65E2-936C-57E5-C1FF3A8A356C}"/>
            </a:ext>
          </a:extLst>
        </xdr:cNvPr>
        <xdr:cNvCxnSpPr>
          <a:stCxn id="15" idx="3"/>
        </xdr:cNvCxnSpPr>
      </xdr:nvCxnSpPr>
      <xdr:spPr>
        <a:xfrm>
          <a:off x="7608794" y="2409545"/>
          <a:ext cx="2745441" cy="70569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100853</xdr:colOff>
      <xdr:row>16</xdr:row>
      <xdr:rowOff>100853</xdr:rowOff>
    </xdr:from>
    <xdr:to>
      <xdr:col>12</xdr:col>
      <xdr:colOff>22412</xdr:colOff>
      <xdr:row>19</xdr:row>
      <xdr:rowOff>44824</xdr:rowOff>
    </xdr:to>
    <xdr:cxnSp macro="">
      <xdr:nvCxnSpPr>
        <xdr:cNvPr id="24" name="Connector: Curved 23">
          <a:extLst>
            <a:ext uri="{FF2B5EF4-FFF2-40B4-BE49-F238E27FC236}">
              <a16:creationId xmlns:a16="http://schemas.microsoft.com/office/drawing/2014/main" id="{FEE8CEF5-3FA9-4326-9FB7-7092C66BC44F}"/>
            </a:ext>
          </a:extLst>
        </xdr:cNvPr>
        <xdr:cNvCxnSpPr>
          <a:stCxn id="17" idx="3"/>
        </xdr:cNvCxnSpPr>
      </xdr:nvCxnSpPr>
      <xdr:spPr>
        <a:xfrm flipV="1">
          <a:off x="7631206" y="3709147"/>
          <a:ext cx="2846294" cy="515471"/>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112059</xdr:colOff>
      <xdr:row>18</xdr:row>
      <xdr:rowOff>123265</xdr:rowOff>
    </xdr:from>
    <xdr:to>
      <xdr:col>11</xdr:col>
      <xdr:colOff>997323</xdr:colOff>
      <xdr:row>28</xdr:row>
      <xdr:rowOff>162486</xdr:rowOff>
    </xdr:to>
    <xdr:cxnSp macro="">
      <xdr:nvCxnSpPr>
        <xdr:cNvPr id="28" name="Connector: Curved 27">
          <a:extLst>
            <a:ext uri="{FF2B5EF4-FFF2-40B4-BE49-F238E27FC236}">
              <a16:creationId xmlns:a16="http://schemas.microsoft.com/office/drawing/2014/main" id="{8A3FB15E-C5F6-4E95-82E3-AFF43E058D03}"/>
            </a:ext>
          </a:extLst>
        </xdr:cNvPr>
        <xdr:cNvCxnSpPr>
          <a:stCxn id="19" idx="3"/>
        </xdr:cNvCxnSpPr>
      </xdr:nvCxnSpPr>
      <xdr:spPr>
        <a:xfrm flipV="1">
          <a:off x="7642412" y="4112559"/>
          <a:ext cx="2700617" cy="1944221"/>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104776</xdr:colOff>
      <xdr:row>3</xdr:row>
      <xdr:rowOff>95250</xdr:rowOff>
    </xdr:from>
    <xdr:to>
      <xdr:col>8</xdr:col>
      <xdr:colOff>19051</xdr:colOff>
      <xdr:row>21</xdr:row>
      <xdr:rowOff>28575</xdr:rowOff>
    </xdr:to>
    <xdr:sp macro="" textlink="">
      <xdr:nvSpPr>
        <xdr:cNvPr id="3" name="TextBox 2">
          <a:extLst>
            <a:ext uri="{FF2B5EF4-FFF2-40B4-BE49-F238E27FC236}">
              <a16:creationId xmlns:a16="http://schemas.microsoft.com/office/drawing/2014/main" id="{3E25B245-01CB-D044-7D79-1AF9764A66A4}"/>
            </a:ext>
          </a:extLst>
        </xdr:cNvPr>
        <xdr:cNvSpPr txBox="1"/>
      </xdr:nvSpPr>
      <xdr:spPr>
        <a:xfrm>
          <a:off x="1371601" y="285750"/>
          <a:ext cx="7962900" cy="3743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table shows how the required initial margin changes under different confidence levels. A higher confidence level leads to a higher z-score, which increases the initial margin requirement. This reduces the probability of an uncovered loss, but also increases the amount of collateral that must be posted.</a:t>
          </a:r>
        </a:p>
        <a:p>
          <a:endParaRPr lang="es-ES" sz="1100"/>
        </a:p>
        <a:p>
          <a:r>
            <a:rPr lang="es-ES" sz="1100"/>
            <a:t>- Confidence Level: probability level used to estimate the initial margin. A higher confidence level means a more conservative margin requirement.</a:t>
          </a:r>
        </a:p>
        <a:p>
          <a:r>
            <a:rPr lang="es-ES" sz="1100"/>
            <a:t>- Z-score: normal distribution quantile associated with the selected confidence level. It converts the confidence level into a risk multiplier.</a:t>
          </a:r>
        </a:p>
        <a:p>
          <a:r>
            <a:rPr lang="es-ES" sz="1100"/>
            <a:t>- Daily MTM Volatility: standard deviation of daily changes in the mark-to-market value of the derivative. It measures how much the derivative                 value typically moves per day in monetary terms.</a:t>
          </a:r>
        </a:p>
        <a:p>
          <a:endParaRPr lang="es-ES" sz="1100"/>
        </a:p>
        <a:p>
          <a:r>
            <a:rPr lang="es-ES" sz="1100"/>
            <a:t>- MPoR: Margin Period of Risk. It represents the number of days between the counterparty default and the close-out or replacement of the position.</a:t>
          </a:r>
        </a:p>
        <a:p>
          <a:endParaRPr lang="es-ES" sz="1100"/>
        </a:p>
        <a:p>
          <a:r>
            <a:rPr lang="es-ES" sz="1100"/>
            <a:t>- Initial Margin: collateral buffer estimated to cover potential losses during the MPoR. It is calculated using the z-score, daily MTM volatility and MPoR.</a:t>
          </a:r>
        </a:p>
        <a:p>
          <a:endParaRPr lang="es-ES" sz="1100"/>
        </a:p>
        <a:p>
          <a:r>
            <a:rPr lang="es-ES" sz="1100"/>
            <a:t>- Loss during MPoR: additional exposure generated between the default day and the close-out day. This is the loss that the initial margin is meant to cover.</a:t>
          </a:r>
        </a:p>
        <a:p>
          <a:endParaRPr lang="es-ES" sz="1100"/>
        </a:p>
        <a:p>
          <a:r>
            <a:rPr lang="es-ES" sz="1100"/>
            <a:t>- Uncovered Loss: part of the loss during the MPoR that is not covered by the initial margin. If this value is zero, the initial margin was sufficient in that scenario.</a:t>
          </a:r>
        </a:p>
      </xdr:txBody>
    </xdr:sp>
    <xdr:clientData/>
  </xdr:twoCellAnchor>
  <xdr:twoCellAnchor>
    <xdr:from>
      <xdr:col>9</xdr:col>
      <xdr:colOff>537482</xdr:colOff>
      <xdr:row>3</xdr:row>
      <xdr:rowOff>61233</xdr:rowOff>
    </xdr:from>
    <xdr:to>
      <xdr:col>15</xdr:col>
      <xdr:colOff>95250</xdr:colOff>
      <xdr:row>7</xdr:row>
      <xdr:rowOff>42183</xdr:rowOff>
    </xdr:to>
    <xdr:sp macro="" textlink="">
      <xdr:nvSpPr>
        <xdr:cNvPr id="4" name="TextBox 3">
          <a:extLst>
            <a:ext uri="{FF2B5EF4-FFF2-40B4-BE49-F238E27FC236}">
              <a16:creationId xmlns:a16="http://schemas.microsoft.com/office/drawing/2014/main" id="{1ED76A3C-0FDE-F2D9-B97F-90B823350593}"/>
            </a:ext>
          </a:extLst>
        </xdr:cNvPr>
        <xdr:cNvSpPr txBox="1"/>
      </xdr:nvSpPr>
      <xdr:spPr>
        <a:xfrm>
          <a:off x="10470696" y="632733"/>
          <a:ext cx="5558518"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 section analyses how the initial margin requirement changes when the Margin Period of Risk increases. A longer MPoR means that the position remains exposed for more days after default, which increases the potential loss and therefore the required collateral buffer.</a:t>
          </a:r>
        </a:p>
      </xdr:txBody>
    </xdr:sp>
    <xdr:clientData/>
  </xdr:twoCellAnchor>
  <xdr:twoCellAnchor>
    <xdr:from>
      <xdr:col>9</xdr:col>
      <xdr:colOff>254975</xdr:colOff>
      <xdr:row>15</xdr:row>
      <xdr:rowOff>169690</xdr:rowOff>
    </xdr:from>
    <xdr:to>
      <xdr:col>12</xdr:col>
      <xdr:colOff>1037384</xdr:colOff>
      <xdr:row>27</xdr:row>
      <xdr:rowOff>55390</xdr:rowOff>
    </xdr:to>
    <xdr:graphicFrame macro="">
      <xdr:nvGraphicFramePr>
        <xdr:cNvPr id="6" name="Chart 5">
          <a:extLst>
            <a:ext uri="{FF2B5EF4-FFF2-40B4-BE49-F238E27FC236}">
              <a16:creationId xmlns:a16="http://schemas.microsoft.com/office/drawing/2014/main" id="{E35848D9-B4C8-B425-7E67-E9CB541C4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216594</xdr:colOff>
      <xdr:row>17</xdr:row>
      <xdr:rowOff>47386</xdr:rowOff>
    </xdr:from>
    <xdr:to>
      <xdr:col>16</xdr:col>
      <xdr:colOff>178494</xdr:colOff>
      <xdr:row>24</xdr:row>
      <xdr:rowOff>93650</xdr:rowOff>
    </xdr:to>
    <xdr:sp macro="" textlink="">
      <xdr:nvSpPr>
        <xdr:cNvPr id="7" name="TextBox 6">
          <a:extLst>
            <a:ext uri="{FF2B5EF4-FFF2-40B4-BE49-F238E27FC236}">
              <a16:creationId xmlns:a16="http://schemas.microsoft.com/office/drawing/2014/main" id="{E5776F5F-54CA-6E48-A1A8-D01CF3A2078F}"/>
            </a:ext>
          </a:extLst>
        </xdr:cNvPr>
        <xdr:cNvSpPr txBox="1"/>
      </xdr:nvSpPr>
      <xdr:spPr>
        <a:xfrm>
          <a:off x="13921388" y="4070298"/>
          <a:ext cx="2763371" cy="1570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a:t>This chart shows how the required initial margin increases with the Margin Period of Risk. A longer MPoR means that the position remains exposed for more time after default, so a larger collateral buffer is needed. The relationship is not linear, since the initial margin grows with the square root of the MPoR.</a:t>
          </a:r>
          <a:endParaRPr lang="es-E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428625</xdr:colOff>
      <xdr:row>13</xdr:row>
      <xdr:rowOff>111577</xdr:rowOff>
    </xdr:from>
    <xdr:to>
      <xdr:col>9</xdr:col>
      <xdr:colOff>103654</xdr:colOff>
      <xdr:row>28</xdr:row>
      <xdr:rowOff>140152</xdr:rowOff>
    </xdr:to>
    <xdr:graphicFrame macro="">
      <xdr:nvGraphicFramePr>
        <xdr:cNvPr id="2" name="Chart 1">
          <a:extLst>
            <a:ext uri="{FF2B5EF4-FFF2-40B4-BE49-F238E27FC236}">
              <a16:creationId xmlns:a16="http://schemas.microsoft.com/office/drawing/2014/main" id="{33B0EF08-2814-4794-86FF-1CEF13079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608408</xdr:colOff>
      <xdr:row>13</xdr:row>
      <xdr:rowOff>136242</xdr:rowOff>
    </xdr:from>
    <xdr:to>
      <xdr:col>17</xdr:col>
      <xdr:colOff>95250</xdr:colOff>
      <xdr:row>28</xdr:row>
      <xdr:rowOff>149678</xdr:rowOff>
    </xdr:to>
    <xdr:graphicFrame macro="">
      <xdr:nvGraphicFramePr>
        <xdr:cNvPr id="3" name="Chart 2">
          <a:extLst>
            <a:ext uri="{FF2B5EF4-FFF2-40B4-BE49-F238E27FC236}">
              <a16:creationId xmlns:a16="http://schemas.microsoft.com/office/drawing/2014/main" id="{80421CCE-FC9D-4EB9-894A-CDECD9A02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372837</xdr:colOff>
      <xdr:row>30</xdr:row>
      <xdr:rowOff>107497</xdr:rowOff>
    </xdr:from>
    <xdr:to>
      <xdr:col>25</xdr:col>
      <xdr:colOff>489857</xdr:colOff>
      <xdr:row>44</xdr:row>
      <xdr:rowOff>164647</xdr:rowOff>
    </xdr:to>
    <xdr:graphicFrame macro="">
      <xdr:nvGraphicFramePr>
        <xdr:cNvPr id="4" name="Chart 3">
          <a:extLst>
            <a:ext uri="{FF2B5EF4-FFF2-40B4-BE49-F238E27FC236}">
              <a16:creationId xmlns:a16="http://schemas.microsoft.com/office/drawing/2014/main" id="{9B8C2E95-33DA-4D87-8E5E-8D1186FA6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507545</xdr:colOff>
      <xdr:row>13</xdr:row>
      <xdr:rowOff>169690</xdr:rowOff>
    </xdr:from>
    <xdr:to>
      <xdr:col>25</xdr:col>
      <xdr:colOff>435428</xdr:colOff>
      <xdr:row>28</xdr:row>
      <xdr:rowOff>122463</xdr:rowOff>
    </xdr:to>
    <xdr:graphicFrame macro="">
      <xdr:nvGraphicFramePr>
        <xdr:cNvPr id="5" name="Chart 4">
          <a:extLst>
            <a:ext uri="{FF2B5EF4-FFF2-40B4-BE49-F238E27FC236}">
              <a16:creationId xmlns:a16="http://schemas.microsoft.com/office/drawing/2014/main" id="{15AE2D37-E474-400E-A930-DC536F337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408215</xdr:colOff>
      <xdr:row>47</xdr:row>
      <xdr:rowOff>13606</xdr:rowOff>
    </xdr:from>
    <xdr:to>
      <xdr:col>25</xdr:col>
      <xdr:colOff>557892</xdr:colOff>
      <xdr:row>66</xdr:row>
      <xdr:rowOff>122463</xdr:rowOff>
    </xdr:to>
    <xdr:sp macro="" textlink="">
      <xdr:nvSpPr>
        <xdr:cNvPr id="6" name="TextBox 5">
          <a:extLst>
            <a:ext uri="{FF2B5EF4-FFF2-40B4-BE49-F238E27FC236}">
              <a16:creationId xmlns:a16="http://schemas.microsoft.com/office/drawing/2014/main" id="{02B862EA-A0AD-FA5E-9B5E-2D1012C4830C}"/>
            </a:ext>
          </a:extLst>
        </xdr:cNvPr>
        <xdr:cNvSpPr txBox="1"/>
      </xdr:nvSpPr>
      <xdr:spPr>
        <a:xfrm>
          <a:off x="1020536" y="9307285"/>
          <a:ext cx="15308035" cy="3728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Dashboard Interpretation</a:t>
          </a:r>
        </a:p>
        <a:p>
          <a:endParaRPr lang="es-ES" sz="1100"/>
        </a:p>
        <a:p>
          <a:r>
            <a:rPr lang="es-ES" sz="1100"/>
            <a:t>The “Underlying Price Path” chart shows the simulated evolution of the underlying asset price. This simulation is the starting point of the model, because changes in the underlying asset price drive changes in the value of the derivative. In other words, when the asset price moves, the forward contract also changes in value.</a:t>
          </a:r>
        </a:p>
        <a:p>
          <a:endParaRPr lang="es-ES" sz="1100"/>
        </a:p>
        <a:p>
          <a:r>
            <a:rPr lang="es-ES" sz="1100"/>
            <a:t>The “Mark-to-Market” chart shows how the current value of the contract evolves over time. When the mark-to-market is positive, the position has value in our favour; when it is negative, the position moves against us. This value is important because it is used to calculate daily exposure and to understand what could happen if the counterparty defaults.</a:t>
          </a:r>
        </a:p>
        <a:p>
          <a:endParaRPr lang="es-ES" sz="1100"/>
        </a:p>
        <a:p>
          <a:r>
            <a:rPr lang="es-ES" sz="1100"/>
            <a:t>The “Daily Variation Margin” chart shows the daily variation margin flows. Positive bars represent days on which collateral is received, while negative bars represent days on which collateral must be posted. This highlights that collateral is not only a protection against counterparty credit risk, but also a potential source of liquidity pressure, because cash or eligible assets may need to be moved frequently.</a:t>
          </a:r>
        </a:p>
        <a:p>
          <a:endParaRPr lang="es-ES" sz="1100"/>
        </a:p>
        <a:p>
          <a:r>
            <a:rPr lang="es-ES" sz="1100"/>
            <a:t>The “Initial Margin vs MPoR” chart shows how initial margin increases as the Margin Period of Risk increases. The longer it takes to close or replace the position after a default, the greater the risk that the market moves against the surviving counterparty. Therefore, a larger collateral buffer is required. The relationship does not increase linearly, because initial margin scales with the square root of time.</a:t>
          </a:r>
        </a:p>
        <a:p>
          <a:endParaRPr lang="es-ES" sz="1100"/>
        </a:p>
        <a:p>
          <a:r>
            <a:rPr lang="es-ES" sz="1100"/>
            <a:t>Conclusion</a:t>
          </a:r>
        </a:p>
        <a:p>
          <a:endParaRPr lang="es-ES" sz="1100"/>
        </a:p>
        <a:p>
          <a:r>
            <a:rPr lang="es-ES" sz="1100"/>
            <a:t>This dashboard summarises the core logic of collateral in OTC derivatives. Variation margin reduces counterparty risk by adjusting collateral daily to the current value of the contract, while initial margin acts as an additional buffer designed to cover potential losses between default and close-out. However, collateral does not eliminate risk completely. In stressed scenarios, losses during the Margin Period of Risk may exceed the available initial margin, creating an uncovered loss. In addition, more conservative margin assumptions or longer MPoR periods increase the amount of collateral required, reducing counterparty risk but increasing liquidity pressure.</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8007E0-8632-4A5B-B267-3E9B7E66077A}" name="Table1" displayName="Table1" ref="B5:E19" totalsRowShown="0" headerRowDxfId="48" dataDxfId="46" headerRowBorderDxfId="47" tableBorderDxfId="45" totalsRowBorderDxfId="44">
  <autoFilter ref="B5:E19" xr:uid="{6E8007E0-8632-4A5B-B267-3E9B7E66077A}"/>
  <tableColumns count="4">
    <tableColumn id="1" xr3:uid="{F38618BD-C4A0-43BE-82FD-5C3DFA7A8BCC}" name="Category" dataDxfId="43"/>
    <tableColumn id="2" xr3:uid="{AE062142-A0BB-4BEF-93B9-E906C85C0873}" name="Input" dataDxfId="42"/>
    <tableColumn id="3" xr3:uid="{BE78DEB5-CDB3-4F53-A3E8-388A017C64FF}" name="Value" dataDxfId="41"/>
    <tableColumn id="4" xr3:uid="{A30D2B15-1267-473A-AB06-99EB133F62FC}" name="Unit / Description"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FEB32-2C3C-41FD-B0F5-FF27075A5674}" name="Table6" displayName="Table6" ref="E2:H255" totalsRowShown="0" headerRowDxfId="39">
  <autoFilter ref="E2:H255" xr:uid="{9C3FEB32-2C3C-41FD-B0F5-FF27075A5674}"/>
  <tableColumns count="4">
    <tableColumn id="1" xr3:uid="{BA2F1A4C-51B7-4E2E-BA3F-0004EDB70397}" name="Day">
      <calculatedColumnFormula>+E2+1</calculatedColumnFormula>
    </tableColumn>
    <tableColumn id="2" xr3:uid="{E19D69D1-D547-48F0-9F23-1EA611AB2DC2}" name="Random Shock">
      <calculatedColumnFormula>_xlfn.NORM.S.INV(RAND())</calculatedColumnFormula>
    </tableColumn>
    <tableColumn id="3" xr3:uid="{8779FA25-B94F-4DFD-9BEA-E0DFE13815AD}" name="Daily Return">
      <calculatedColumnFormula>(Inputs!$D$8-0.5*Inputs!$D$7^2)/Inputs!$D$9+Inputs!$D$7*SQRT(1/Inputs!$D$9)*F3</calculatedColumnFormula>
    </tableColumn>
    <tableColumn id="4" xr3:uid="{DE95A54F-B879-4516-9FCD-37113F8035BA}" name="Underlying Price">
      <calculatedColumnFormula>H2*EXP(G3)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C3BA41-B585-4DF4-B7CE-C95A9BABDB65}" name="Table7" displayName="Table7" ref="G2:L255" totalsRowShown="0" headerRowDxfId="38" headerRowBorderDxfId="37" tableBorderDxfId="36" totalsRowBorderDxfId="35">
  <autoFilter ref="G2:L255" xr:uid="{0FC3BA41-B585-4DF4-B7CE-C95A9BABDB65}"/>
  <tableColumns count="6">
    <tableColumn id="1" xr3:uid="{B3DBC1DB-E310-494C-BD93-A52247994580}" name="Day" dataDxfId="34">
      <calculatedColumnFormula>Simulation!E3</calculatedColumnFormula>
    </tableColumn>
    <tableColumn id="2" xr3:uid="{CBC21217-9F53-4C6C-B2F5-1AB6A1AC1E2F}" name="Underlying Price" dataDxfId="33">
      <calculatedColumnFormula>Simulation!H3</calculatedColumnFormula>
    </tableColumn>
    <tableColumn id="3" xr3:uid="{B89A82AB-BB34-4B3A-9DAD-5D1CAB13F7A8}" name="Forward Strike" dataDxfId="32">
      <calculatedColumnFormula>Inputs!$D$13</calculatedColumnFormula>
    </tableColumn>
    <tableColumn id="4" xr3:uid="{DD4F6BF8-7281-4A36-9EC2-91367BEA9F34}" name="Mark-to-Market" dataDxfId="31">
      <calculatedColumnFormula>(Simulation!H3-Inputs!$D$13)/Inputs!$D$13*Inputs!$D$12</calculatedColumnFormula>
    </tableColumn>
    <tableColumn id="5" xr3:uid="{7F3D5CE4-154D-4264-9715-2108990B5D19}" name="Variation Margin" dataDxfId="30">
      <calculatedColumnFormula>J3-J2</calculatedColumnFormula>
    </tableColumn>
    <tableColumn id="6" xr3:uid="{62CC8DA9-C5A0-49E4-B6AC-3926227FE919}" name="Cumulative VM" dataDxfId="29">
      <calculatedColumnFormula>+L2+K3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D75B8D-BD09-4967-AC14-C13624EEDA8C}" name="Table2" displayName="Table2" ref="E16:G21" totalsRowShown="0" headerRowDxfId="28" dataDxfId="26" headerRowBorderDxfId="27" tableBorderDxfId="25" totalsRowBorderDxfId="24">
  <autoFilter ref="E16:G21" xr:uid="{5DD75B8D-BD09-4967-AC14-C13624EEDA8C}"/>
  <tableColumns count="3">
    <tableColumn id="1" xr3:uid="{9689C13C-2DA9-4758-ACF5-A4F4036EA104}" name="Input" dataDxfId="23"/>
    <tableColumn id="2" xr3:uid="{AC22FDD0-6A1E-4D44-AC6E-72958E299F19}" name="Value" dataDxfId="22"/>
    <tableColumn id="3" xr3:uid="{9118FB21-5576-467C-9B84-8D89F43426C1}" name="Description"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D6A315-0058-4FBF-97CE-67CB4EC24C97}" name="Table3" displayName="Table3" ref="M11:O19" totalsRowShown="0" headerRowDxfId="20" dataDxfId="19">
  <autoFilter ref="M11:O19" xr:uid="{70D6A315-0058-4FBF-97CE-67CB4EC24C97}"/>
  <tableColumns count="3">
    <tableColumn id="1" xr3:uid="{4DC70E65-28A3-4774-A2B3-A95B6E7A7D19}" name="Input" dataDxfId="18"/>
    <tableColumn id="2" xr3:uid="{39FB12FD-809E-404D-B9A6-A87626B01AC6}" name="Value" dataDxfId="17"/>
    <tableColumn id="3" xr3:uid="{73F35669-67CB-460E-9296-085E35B77C7C}" name="Description" dataDxf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988D7A-2838-426D-AB59-D3193F409974}" name="Table4" displayName="Table4" ref="B24:H27" totalsRowShown="0" headerRowDxfId="15" dataDxfId="14">
  <autoFilter ref="B24:H27" xr:uid="{50988D7A-2838-426D-AB59-D3193F409974}"/>
  <tableColumns count="7">
    <tableColumn id="1" xr3:uid="{4EDC572A-1E49-476C-9C87-DBF79DF585B8}" name="Confidence Level" dataDxfId="13"/>
    <tableColumn id="2" xr3:uid="{D419947D-4BD5-4414-B92E-EAE9E74389A6}" name="Z-score" dataDxfId="12">
      <calculatedColumnFormula>_xlfn.NORM.S.INV(B25)</calculatedColumnFormula>
    </tableColumn>
    <tableColumn id="3" xr3:uid="{566B127C-8CAA-46D2-9C8B-5EEE3007222D}" name="Daily MTM Volatility" dataDxfId="11">
      <calculatedColumnFormula>'Initial Margin'!$F$20</calculatedColumnFormula>
    </tableColumn>
    <tableColumn id="4" xr3:uid="{E7B75188-A113-4CF0-A15B-570136A31134}" name="MPoR" dataDxfId="10"/>
    <tableColumn id="5" xr3:uid="{4BD3C28C-4832-433A-85F5-BD3CEE8BC8F5}" name="Initial Margin" dataDxfId="9">
      <calculatedColumnFormula>C25*D25*SQRT(E25)</calculatedColumnFormula>
    </tableColumn>
    <tableColumn id="6" xr3:uid="{A13DE5B9-0FF5-46EB-81BC-A8BD3FA2568C}" name="Loss during MPoR" dataDxfId="8">
      <calculatedColumnFormula>'Default Scenario'!$N$17</calculatedColumnFormula>
    </tableColumn>
    <tableColumn id="7" xr3:uid="{B357BF04-8C05-4228-A6DE-6C3160F56E1A}" name="Uncovered Loss" dataDxfId="7">
      <calculatedColumnFormula>MAX(G25-F25,0)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6A0081-A7CA-4AD5-8DA3-0DC5B50D77AD}" name="Table5" displayName="Table5" ref="K9:O13" totalsRowShown="0" headerRowDxfId="6" dataDxfId="5">
  <autoFilter ref="K9:O13" xr:uid="{DC6A0081-A7CA-4AD5-8DA3-0DC5B50D77AD}"/>
  <tableColumns count="5">
    <tableColumn id="1" xr3:uid="{DDC8C2E7-6E23-4395-BAD9-6B39492C29AD}" name="MPoR" dataDxfId="4"/>
    <tableColumn id="2" xr3:uid="{487BEB41-CBC5-449F-B32B-1345844263E0}" name="Confidence Level" dataDxfId="3"/>
    <tableColumn id="3" xr3:uid="{DEB56163-38E4-4B81-9C68-79AC0A6CD952}" name="Z-score" dataDxfId="2">
      <calculatedColumnFormula>_xlfn.NORM.S.INV(L10)</calculatedColumnFormula>
    </tableColumn>
    <tableColumn id="4" xr3:uid="{D97E965D-2BF9-41B6-9930-6E775A61EB42}" name="Daily MTM Volatility" dataDxfId="1">
      <calculatedColumnFormula>'Initial Margin'!$F$20</calculatedColumnFormula>
    </tableColumn>
    <tableColumn id="5" xr3:uid="{47CA4CBE-4E0B-4D7D-8DAC-C41EC19DFAF2}" name="Initial Margin" dataDxfId="0">
      <calculatedColumnFormula>M10*N10*SQRT(K10)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34CA-43BD-400D-977D-F20B5E185890}">
  <dimension ref="E2:H4"/>
  <sheetViews>
    <sheetView showGridLines="0" zoomScale="70" zoomScaleNormal="70" workbookViewId="0">
      <selection activeCell="V40" sqref="V40"/>
    </sheetView>
  </sheetViews>
  <sheetFormatPr defaultRowHeight="15"/>
  <sheetData>
    <row r="2" spans="5:8" ht="21">
      <c r="H2" s="1" t="s">
        <v>0</v>
      </c>
    </row>
    <row r="4" spans="5:8">
      <c r="E4"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9BB5-C7E6-4C6F-8E19-885EB60CE57F}">
  <dimension ref="B5:E19"/>
  <sheetViews>
    <sheetView showGridLines="0" workbookViewId="0">
      <selection activeCell="G15" sqref="G15"/>
    </sheetView>
  </sheetViews>
  <sheetFormatPr defaultColWidth="17.5703125" defaultRowHeight="28.5" customHeight="1"/>
  <cols>
    <col min="1" max="3" width="17.5703125" style="34"/>
    <col min="4" max="4" width="19" style="34" customWidth="1"/>
    <col min="5" max="16384" width="17.5703125" style="34"/>
  </cols>
  <sheetData>
    <row r="5" spans="2:5" ht="28.5" customHeight="1">
      <c r="B5" s="11" t="s">
        <v>2</v>
      </c>
      <c r="C5" s="12" t="s">
        <v>3</v>
      </c>
      <c r="D5" s="12" t="s">
        <v>4</v>
      </c>
      <c r="E5" s="13" t="s">
        <v>5</v>
      </c>
    </row>
    <row r="6" spans="2:5" ht="28.5" customHeight="1">
      <c r="B6" s="9" t="s">
        <v>6</v>
      </c>
      <c r="C6" s="7" t="s">
        <v>7</v>
      </c>
      <c r="D6" s="7">
        <v>100</v>
      </c>
      <c r="E6" s="10" t="s">
        <v>8</v>
      </c>
    </row>
    <row r="7" spans="2:5" ht="28.5" customHeight="1">
      <c r="B7" s="9" t="s">
        <v>6</v>
      </c>
      <c r="C7" s="7" t="s">
        <v>9</v>
      </c>
      <c r="D7" s="8">
        <v>0.2</v>
      </c>
      <c r="E7" s="10" t="s">
        <v>10</v>
      </c>
    </row>
    <row r="8" spans="2:5" ht="28.5" customHeight="1">
      <c r="B8" s="9" t="s">
        <v>6</v>
      </c>
      <c r="C8" s="7" t="s">
        <v>11</v>
      </c>
      <c r="D8" s="8">
        <v>0</v>
      </c>
      <c r="E8" s="10" t="s">
        <v>12</v>
      </c>
    </row>
    <row r="9" spans="2:5" ht="28.5" customHeight="1">
      <c r="B9" s="9" t="s">
        <v>6</v>
      </c>
      <c r="C9" s="7" t="s">
        <v>13</v>
      </c>
      <c r="D9" s="7">
        <v>252</v>
      </c>
      <c r="E9" s="10" t="s">
        <v>14</v>
      </c>
    </row>
    <row r="10" spans="2:5" ht="28.5" customHeight="1">
      <c r="B10" s="9" t="s">
        <v>15</v>
      </c>
      <c r="C10" s="7" t="s">
        <v>16</v>
      </c>
      <c r="D10" s="7">
        <v>252</v>
      </c>
      <c r="E10" s="10" t="s">
        <v>17</v>
      </c>
    </row>
    <row r="11" spans="2:5" ht="28.5" customHeight="1">
      <c r="B11" s="9" t="s">
        <v>18</v>
      </c>
      <c r="C11" s="7" t="s">
        <v>19</v>
      </c>
      <c r="D11" s="7" t="s">
        <v>20</v>
      </c>
      <c r="E11" s="10" t="s">
        <v>21</v>
      </c>
    </row>
    <row r="12" spans="2:5" ht="28.5" customHeight="1">
      <c r="B12" s="9" t="s">
        <v>18</v>
      </c>
      <c r="C12" s="7" t="s">
        <v>22</v>
      </c>
      <c r="D12" s="7">
        <v>1000000</v>
      </c>
      <c r="E12" s="10" t="s">
        <v>23</v>
      </c>
    </row>
    <row r="13" spans="2:5" ht="28.5" customHeight="1">
      <c r="B13" s="9" t="s">
        <v>18</v>
      </c>
      <c r="C13" s="7" t="s">
        <v>24</v>
      </c>
      <c r="D13" s="7">
        <v>100</v>
      </c>
      <c r="E13" s="10" t="s">
        <v>25</v>
      </c>
    </row>
    <row r="14" spans="2:5" ht="28.5" customHeight="1">
      <c r="B14" s="9" t="s">
        <v>26</v>
      </c>
      <c r="C14" s="7" t="s">
        <v>27</v>
      </c>
      <c r="D14" s="7" t="s">
        <v>28</v>
      </c>
      <c r="E14" s="10" t="s">
        <v>29</v>
      </c>
    </row>
    <row r="15" spans="2:5" ht="28.5" customHeight="1">
      <c r="B15" s="9" t="s">
        <v>26</v>
      </c>
      <c r="C15" s="7" t="s">
        <v>30</v>
      </c>
      <c r="D15" s="8">
        <v>0.99</v>
      </c>
      <c r="E15" s="10" t="s">
        <v>31</v>
      </c>
    </row>
    <row r="16" spans="2:5" ht="28.5" customHeight="1">
      <c r="B16" s="9" t="s">
        <v>26</v>
      </c>
      <c r="C16" s="7" t="s">
        <v>32</v>
      </c>
      <c r="D16" s="7">
        <v>10</v>
      </c>
      <c r="E16" s="10" t="s">
        <v>33</v>
      </c>
    </row>
    <row r="17" spans="2:5" ht="28.5" customHeight="1">
      <c r="B17" s="9" t="s">
        <v>26</v>
      </c>
      <c r="C17" s="7" t="s">
        <v>34</v>
      </c>
      <c r="D17" s="7" t="s">
        <v>35</v>
      </c>
      <c r="E17" s="10" t="s">
        <v>36</v>
      </c>
    </row>
    <row r="18" spans="2:5" ht="28.5" customHeight="1">
      <c r="B18" s="9" t="s">
        <v>37</v>
      </c>
      <c r="C18" s="7" t="s">
        <v>38</v>
      </c>
      <c r="D18" s="7">
        <v>180</v>
      </c>
      <c r="E18" s="10" t="s">
        <v>39</v>
      </c>
    </row>
    <row r="19" spans="2:5" ht="28.5" customHeight="1">
      <c r="B19" s="14" t="s">
        <v>40</v>
      </c>
      <c r="C19" s="15" t="s">
        <v>41</v>
      </c>
      <c r="D19" s="15" t="s">
        <v>42</v>
      </c>
      <c r="E19" s="16" t="s">
        <v>43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70FA-1A44-426A-AF73-67CF54149F52}">
  <dimension ref="B2:H255"/>
  <sheetViews>
    <sheetView showGridLines="0" zoomScale="85" zoomScaleNormal="85" workbookViewId="0">
      <selection activeCell="A28" sqref="A28"/>
    </sheetView>
  </sheetViews>
  <sheetFormatPr defaultColWidth="16.7109375" defaultRowHeight="15"/>
  <cols>
    <col min="6" max="6" width="19" bestFit="1" customWidth="1"/>
  </cols>
  <sheetData>
    <row r="2" spans="2:8">
      <c r="B2" s="65" t="s">
        <v>44</v>
      </c>
      <c r="C2" s="65"/>
      <c r="E2" s="3" t="s">
        <v>45</v>
      </c>
      <c r="F2" s="3" t="s">
        <v>46</v>
      </c>
      <c r="G2" s="3" t="s">
        <v>47</v>
      </c>
      <c r="H2" s="3" t="s">
        <v>48</v>
      </c>
    </row>
    <row r="3" spans="2:8">
      <c r="E3">
        <v>0</v>
      </c>
      <c r="H3">
        <f>+Inputs!D6</f>
        <v>100</v>
      </c>
    </row>
    <row r="4" spans="2:8">
      <c r="E4">
        <f>+E3+1</f>
        <v>1</v>
      </c>
      <c r="F4">
        <f ca="1">_xlfn.NORM.S.INV(RAND())</f>
        <v>-0.33622417310228236</v>
      </c>
      <c r="G4">
        <f ca="1">(Inputs!$D$8-0.5*Inputs!$D$7^2)/Inputs!$D$9+Inputs!$D$7*SQRT(1/Inputs!$D$9)*F4</f>
        <v>-4.3153914926839908E-3</v>
      </c>
      <c r="H4">
        <f ca="1">H3*EXP(G4)</f>
        <v>99.569390642965018</v>
      </c>
    </row>
    <row r="5" spans="2:8">
      <c r="E5">
        <f t="shared" ref="E5:E68" si="0">+E4+1</f>
        <v>2</v>
      </c>
      <c r="F5">
        <f t="shared" ref="F5:F68" ca="1" si="1">_xlfn.NORM.S.INV(RAND())</f>
        <v>1.6261499400402375</v>
      </c>
      <c r="G5">
        <f ca="1">(Inputs!$D$8-0.5*Inputs!$D$7^2)/Inputs!$D$9+Inputs!$D$7*SQRT(1/Inputs!$D$9)*F5</f>
        <v>2.0408198424678083E-2</v>
      </c>
      <c r="H5">
        <f t="shared" ref="H5:H68" ca="1" si="2">H4*EXP(G5)</f>
        <v>101.62229935680563</v>
      </c>
    </row>
    <row r="6" spans="2:8">
      <c r="E6">
        <f t="shared" si="0"/>
        <v>3</v>
      </c>
      <c r="F6">
        <f t="shared" ca="1" si="1"/>
        <v>-2.1971275380791679</v>
      </c>
      <c r="G6">
        <f ca="1">(Inputs!$D$8-0.5*Inputs!$D$7^2)/Inputs!$D$9+Inputs!$D$7*SQRT(1/Inputs!$D$9)*F6</f>
        <v>-2.77605701481702E-2</v>
      </c>
      <c r="H6">
        <f t="shared" ca="1" si="2"/>
        <v>98.840004116834905</v>
      </c>
    </row>
    <row r="7" spans="2:8">
      <c r="E7">
        <f t="shared" si="0"/>
        <v>4</v>
      </c>
      <c r="F7">
        <f t="shared" ca="1" si="1"/>
        <v>0.33680115810312999</v>
      </c>
      <c r="G7">
        <f ca="1">(Inputs!$D$8-0.5*Inputs!$D$7^2)/Inputs!$D$9+Inputs!$D$7*SQRT(1/Inputs!$D$9)*F7</f>
        <v>4.1639306616798192E-3</v>
      </c>
      <c r="H7">
        <f t="shared" ca="1" si="2"/>
        <v>99.252425090856832</v>
      </c>
    </row>
    <row r="8" spans="2:8">
      <c r="E8">
        <f t="shared" si="0"/>
        <v>5</v>
      </c>
      <c r="F8">
        <f t="shared" ca="1" si="1"/>
        <v>-1.3071910665776749</v>
      </c>
      <c r="G8">
        <f ca="1">(Inputs!$D$8-0.5*Inputs!$D$7^2)/Inputs!$D$9+Inputs!$D$7*SQRT(1/Inputs!$D$9)*F8</f>
        <v>-1.6548424499411764E-2</v>
      </c>
      <c r="H8">
        <f t="shared" ca="1" si="2"/>
        <v>97.623469327594165</v>
      </c>
    </row>
    <row r="9" spans="2:8">
      <c r="E9">
        <f t="shared" si="0"/>
        <v>6</v>
      </c>
      <c r="F9">
        <f t="shared" ca="1" si="1"/>
        <v>-0.32350508243914977</v>
      </c>
      <c r="G9">
        <f ca="1">(Inputs!$D$8-0.5*Inputs!$D$7^2)/Inputs!$D$9+Inputs!$D$7*SQRT(1/Inputs!$D$9)*F9</f>
        <v>-4.1551460126957413E-3</v>
      </c>
      <c r="H9">
        <f t="shared" ca="1" si="2"/>
        <v>97.218671138474093</v>
      </c>
    </row>
    <row r="10" spans="2:8">
      <c r="E10">
        <f t="shared" si="0"/>
        <v>7</v>
      </c>
      <c r="F10">
        <f t="shared" ca="1" si="1"/>
        <v>2.3180635762581864E-2</v>
      </c>
      <c r="G10">
        <f ca="1">(Inputs!$D$8-0.5*Inputs!$D$7^2)/Inputs!$D$9+Inputs!$D$7*SQRT(1/Inputs!$D$9)*F10</f>
        <v>2.1268347996902402E-4</v>
      </c>
      <c r="H10">
        <f t="shared" ca="1" si="2"/>
        <v>97.23935014273313</v>
      </c>
    </row>
    <row r="11" spans="2:8">
      <c r="E11">
        <f t="shared" si="0"/>
        <v>8</v>
      </c>
      <c r="F11">
        <f t="shared" ca="1" si="1"/>
        <v>-0.68749184178727696</v>
      </c>
      <c r="G11">
        <f ca="1">(Inputs!$D$8-0.5*Inputs!$D$7^2)/Inputs!$D$9+Inputs!$D$7*SQRT(1/Inputs!$D$9)*F11</f>
        <v>-8.7409481353407856E-3</v>
      </c>
      <c r="H11">
        <f t="shared" ca="1" si="2"/>
        <v>96.393089972692863</v>
      </c>
    </row>
    <row r="12" spans="2:8">
      <c r="E12">
        <f t="shared" si="0"/>
        <v>9</v>
      </c>
      <c r="F12">
        <f t="shared" ca="1" si="1"/>
        <v>-1.2131872059661217</v>
      </c>
      <c r="G12">
        <f ca="1">(Inputs!$D$8-0.5*Inputs!$D$7^2)/Inputs!$D$9+Inputs!$D$7*SQRT(1/Inputs!$D$9)*F12</f>
        <v>-1.5364087178182481E-2</v>
      </c>
      <c r="H12">
        <f t="shared" ca="1" si="2"/>
        <v>94.923417135980799</v>
      </c>
    </row>
    <row r="13" spans="2:8">
      <c r="E13">
        <f t="shared" si="0"/>
        <v>10</v>
      </c>
      <c r="F13">
        <f t="shared" ca="1" si="1"/>
        <v>-0.81850939006597079</v>
      </c>
      <c r="G13">
        <f ca="1">(Inputs!$D$8-0.5*Inputs!$D$7^2)/Inputs!$D$9+Inputs!$D$7*SQRT(1/Inputs!$D$9)*F13</f>
        <v>-1.0391614088344703E-2</v>
      </c>
      <c r="H13">
        <f t="shared" ca="1" si="2"/>
        <v>93.942117093341182</v>
      </c>
    </row>
    <row r="14" spans="2:8">
      <c r="E14">
        <f t="shared" si="0"/>
        <v>11</v>
      </c>
      <c r="F14">
        <f t="shared" ca="1" si="1"/>
        <v>-0.80846916096521437</v>
      </c>
      <c r="G14">
        <f ca="1">(Inputs!$D$8-0.5*Inputs!$D$7^2)/Inputs!$D$9+Inputs!$D$7*SQRT(1/Inputs!$D$9)*F14</f>
        <v>-1.026511909164606E-2</v>
      </c>
      <c r="H14">
        <f t="shared" ca="1" si="2"/>
        <v>92.982722647260516</v>
      </c>
    </row>
    <row r="15" spans="2:8">
      <c r="E15">
        <f t="shared" si="0"/>
        <v>12</v>
      </c>
      <c r="F15">
        <f t="shared" ca="1" si="1"/>
        <v>1.7622782982430905</v>
      </c>
      <c r="G15">
        <f ca="1">(Inputs!$D$8-0.5*Inputs!$D$7^2)/Inputs!$D$9+Inputs!$D$7*SQRT(1/Inputs!$D$9)*F15</f>
        <v>2.2123254530336506E-2</v>
      </c>
      <c r="H15">
        <f t="shared" ca="1" si="2"/>
        <v>95.06272647895382</v>
      </c>
    </row>
    <row r="16" spans="2:8">
      <c r="E16">
        <f t="shared" si="0"/>
        <v>13</v>
      </c>
      <c r="F16">
        <f t="shared" ca="1" si="1"/>
        <v>0.89513914174271625</v>
      </c>
      <c r="G16">
        <f ca="1">(Inputs!$D$8-0.5*Inputs!$D$7^2)/Inputs!$D$9+Inputs!$D$7*SQRT(1/Inputs!$D$9)*F16</f>
        <v>1.1198328053258844E-2</v>
      </c>
      <c r="H16">
        <f t="shared" ca="1" si="2"/>
        <v>96.133252941756695</v>
      </c>
    </row>
    <row r="17" spans="5:8">
      <c r="E17">
        <f t="shared" si="0"/>
        <v>14</v>
      </c>
      <c r="F17">
        <f t="shared" ca="1" si="1"/>
        <v>0.64096621519203001</v>
      </c>
      <c r="G17">
        <f ca="1">(Inputs!$D$8-0.5*Inputs!$D$7^2)/Inputs!$D$9+Inputs!$D$7*SQRT(1/Inputs!$D$9)*F17</f>
        <v>7.9960501786940728E-3</v>
      </c>
      <c r="H17">
        <f t="shared" ca="1" si="2"/>
        <v>96.905020690917553</v>
      </c>
    </row>
    <row r="18" spans="5:8">
      <c r="E18">
        <f t="shared" si="0"/>
        <v>15</v>
      </c>
      <c r="F18">
        <f t="shared" ca="1" si="1"/>
        <v>-0.97038405400107419</v>
      </c>
      <c r="G18">
        <f ca="1">(Inputs!$D$8-0.5*Inputs!$D$7^2)/Inputs!$D$9+Inputs!$D$7*SQRT(1/Inputs!$D$9)*F18</f>
        <v>-1.2305054998934199E-2</v>
      </c>
      <c r="H18">
        <f t="shared" ca="1" si="2"/>
        <v>95.71990548909794</v>
      </c>
    </row>
    <row r="19" spans="5:8">
      <c r="E19">
        <f t="shared" si="0"/>
        <v>16</v>
      </c>
      <c r="F19">
        <f t="shared" ca="1" si="1"/>
        <v>0.74378776345254327</v>
      </c>
      <c r="G19">
        <f ca="1">(Inputs!$D$8-0.5*Inputs!$D$7^2)/Inputs!$D$9+Inputs!$D$7*SQRT(1/Inputs!$D$9)*F19</f>
        <v>9.2914799221033295E-3</v>
      </c>
      <c r="H19">
        <f t="shared" ca="1" si="2"/>
        <v>96.613429722058683</v>
      </c>
    </row>
    <row r="20" spans="5:8">
      <c r="E20">
        <f t="shared" si="0"/>
        <v>17</v>
      </c>
      <c r="F20">
        <f t="shared" ca="1" si="1"/>
        <v>-1.7357685690010185</v>
      </c>
      <c r="G20">
        <f ca="1">(Inputs!$D$8-0.5*Inputs!$D$7^2)/Inputs!$D$9+Inputs!$D$7*SQRT(1/Inputs!$D$9)*F20</f>
        <v>-2.1947993494313429E-2</v>
      </c>
      <c r="H20">
        <f t="shared" ca="1" si="2"/>
        <v>94.516059522581813</v>
      </c>
    </row>
    <row r="21" spans="5:8">
      <c r="E21">
        <f t="shared" si="0"/>
        <v>18</v>
      </c>
      <c r="F21">
        <f t="shared" ca="1" si="1"/>
        <v>1.3156940871723593</v>
      </c>
      <c r="G21">
        <f ca="1">(Inputs!$D$8-0.5*Inputs!$D$7^2)/Inputs!$D$9+Inputs!$D$7*SQRT(1/Inputs!$D$9)*F21</f>
        <v>1.6496822330616823E-2</v>
      </c>
      <c r="H21">
        <f t="shared" ca="1" si="2"/>
        <v>96.088206222126374</v>
      </c>
    </row>
    <row r="22" spans="5:8">
      <c r="E22">
        <f t="shared" si="0"/>
        <v>19</v>
      </c>
      <c r="F22">
        <f t="shared" ca="1" si="1"/>
        <v>1.7342172380896919</v>
      </c>
      <c r="G22">
        <f ca="1">(Inputs!$D$8-0.5*Inputs!$D$7^2)/Inputs!$D$9+Inputs!$D$7*SQRT(1/Inputs!$D$9)*F22</f>
        <v>2.1769718403237853E-2</v>
      </c>
      <c r="H22">
        <f t="shared" ca="1" si="2"/>
        <v>98.20295463425019</v>
      </c>
    </row>
    <row r="23" spans="5:8">
      <c r="E23">
        <f t="shared" si="0"/>
        <v>20</v>
      </c>
      <c r="F23">
        <f t="shared" ca="1" si="1"/>
        <v>0.88731430011235612</v>
      </c>
      <c r="G23">
        <f ca="1">(Inputs!$D$8-0.5*Inputs!$D$7^2)/Inputs!$D$9+Inputs!$D$7*SQRT(1/Inputs!$D$9)*F23</f>
        <v>1.1099744315152187E-2</v>
      </c>
      <c r="H23">
        <f t="shared" ca="1" si="2"/>
        <v>99.299054280932367</v>
      </c>
    </row>
    <row r="24" spans="5:8">
      <c r="E24">
        <f t="shared" si="0"/>
        <v>21</v>
      </c>
      <c r="F24">
        <f t="shared" ca="1" si="1"/>
        <v>3.4229144817705426</v>
      </c>
      <c r="G24">
        <f ca="1">(Inputs!$D$8-0.5*Inputs!$D$7^2)/Inputs!$D$9+Inputs!$D$7*SQRT(1/Inputs!$D$9)*F24</f>
        <v>4.3045303862570099E-2</v>
      </c>
      <c r="H24">
        <f t="shared" ca="1" si="2"/>
        <v>103.66674208414645</v>
      </c>
    </row>
    <row r="25" spans="5:8">
      <c r="E25">
        <f t="shared" si="0"/>
        <v>22</v>
      </c>
      <c r="F25">
        <f t="shared" ca="1" si="1"/>
        <v>-1.0999750418421381</v>
      </c>
      <c r="G25">
        <f ca="1">(Inputs!$D$8-0.5*Inputs!$D$7^2)/Inputs!$D$9+Inputs!$D$7*SQRT(1/Inputs!$D$9)*F25</f>
        <v>-1.3937747979803962E-2</v>
      </c>
      <c r="H25">
        <f t="shared" ca="1" si="2"/>
        <v>102.23188373411297</v>
      </c>
    </row>
    <row r="26" spans="5:8">
      <c r="E26">
        <f t="shared" si="0"/>
        <v>23</v>
      </c>
      <c r="F26">
        <f t="shared" ca="1" si="1"/>
        <v>-0.29463990465868189</v>
      </c>
      <c r="G26">
        <f ca="1">(Inputs!$D$8-0.5*Inputs!$D$7^2)/Inputs!$D$9+Inputs!$D$7*SQRT(1/Inputs!$D$9)*F26</f>
        <v>-3.791478955758668E-3</v>
      </c>
      <c r="H26">
        <f t="shared" ca="1" si="2"/>
        <v>101.84500757818472</v>
      </c>
    </row>
    <row r="27" spans="5:8">
      <c r="E27">
        <f t="shared" si="0"/>
        <v>24</v>
      </c>
      <c r="F27">
        <f t="shared" ca="1" si="1"/>
        <v>-0.104771952443469</v>
      </c>
      <c r="G27">
        <f ca="1">(Inputs!$D$8-0.5*Inputs!$D$7^2)/Inputs!$D$9+Inputs!$D$7*SQRT(1/Inputs!$D$9)*F27</f>
        <v>-1.3993676057465322E-3</v>
      </c>
      <c r="H27">
        <f t="shared" ca="1" si="2"/>
        <v>101.70258864523414</v>
      </c>
    </row>
    <row r="28" spans="5:8">
      <c r="E28">
        <f t="shared" si="0"/>
        <v>25</v>
      </c>
      <c r="F28">
        <f t="shared" ca="1" si="1"/>
        <v>0.46779062112039349</v>
      </c>
      <c r="G28">
        <f ca="1">(Inputs!$D$8-0.5*Inputs!$D$7^2)/Inputs!$D$9+Inputs!$D$7*SQRT(1/Inputs!$D$9)*F28</f>
        <v>5.8142427736492079E-3</v>
      </c>
      <c r="H28">
        <f t="shared" ca="1" si="2"/>
        <v>102.29563457214404</v>
      </c>
    </row>
    <row r="29" spans="5:8">
      <c r="E29">
        <f t="shared" si="0"/>
        <v>26</v>
      </c>
      <c r="F29">
        <f t="shared" ca="1" si="1"/>
        <v>-1.244805749906732</v>
      </c>
      <c r="G29">
        <f ca="1">(Inputs!$D$8-0.5*Inputs!$D$7^2)/Inputs!$D$9+Inputs!$D$7*SQRT(1/Inputs!$D$9)*F29</f>
        <v>-1.5762443388110208E-2</v>
      </c>
      <c r="H29">
        <f t="shared" ca="1" si="2"/>
        <v>100.69584682797608</v>
      </c>
    </row>
    <row r="30" spans="5:8">
      <c r="E30">
        <f t="shared" si="0"/>
        <v>27</v>
      </c>
      <c r="F30">
        <f t="shared" ca="1" si="1"/>
        <v>0.92751760524626403</v>
      </c>
      <c r="G30">
        <f ca="1">(Inputs!$D$8-0.5*Inputs!$D$7^2)/Inputs!$D$9+Inputs!$D$7*SQRT(1/Inputs!$D$9)*F30</f>
        <v>1.1606258349757741E-2</v>
      </c>
      <c r="H30">
        <f t="shared" ca="1" si="2"/>
        <v>101.87135728444667</v>
      </c>
    </row>
    <row r="31" spans="5:8">
      <c r="E31">
        <f t="shared" si="0"/>
        <v>28</v>
      </c>
      <c r="F31">
        <f t="shared" ca="1" si="1"/>
        <v>-0.76695956714756786</v>
      </c>
      <c r="G31">
        <f ca="1">(Inputs!$D$8-0.5*Inputs!$D$7^2)/Inputs!$D$9+Inputs!$D$7*SQRT(1/Inputs!$D$9)*F31</f>
        <v>-9.7421473665755976E-3</v>
      </c>
      <c r="H31">
        <f t="shared" ca="1" si="2"/>
        <v>100.88373012526151</v>
      </c>
    </row>
    <row r="32" spans="5:8">
      <c r="E32">
        <f t="shared" si="0"/>
        <v>29</v>
      </c>
      <c r="F32">
        <f t="shared" ca="1" si="1"/>
        <v>1.506679601901161</v>
      </c>
      <c r="G32">
        <f ca="1">(Inputs!$D$8-0.5*Inputs!$D$7^2)/Inputs!$D$9+Inputs!$D$7*SQRT(1/Inputs!$D$9)*F32</f>
        <v>1.8903013644845743E-2</v>
      </c>
      <c r="H32">
        <f t="shared" ca="1" si="2"/>
        <v>102.80887484614493</v>
      </c>
    </row>
    <row r="33" spans="5:8">
      <c r="E33">
        <f t="shared" si="0"/>
        <v>30</v>
      </c>
      <c r="F33">
        <f t="shared" ca="1" si="1"/>
        <v>-1.7527791022933608</v>
      </c>
      <c r="G33">
        <f ca="1">(Inputs!$D$8-0.5*Inputs!$D$7^2)/Inputs!$D$9+Inputs!$D$7*SQRT(1/Inputs!$D$9)*F33</f>
        <v>-2.2162306069361631E-2</v>
      </c>
      <c r="H33">
        <f t="shared" ca="1" si="2"/>
        <v>100.55545580950702</v>
      </c>
    </row>
    <row r="34" spans="5:8">
      <c r="E34">
        <f t="shared" si="0"/>
        <v>31</v>
      </c>
      <c r="F34">
        <f t="shared" ca="1" si="1"/>
        <v>-0.53620393314050752</v>
      </c>
      <c r="G34">
        <f ca="1">(Inputs!$D$8-0.5*Inputs!$D$7^2)/Inputs!$D$9+Inputs!$D$7*SQRT(1/Inputs!$D$9)*F34</f>
        <v>-6.8348996465293077E-3</v>
      </c>
      <c r="H34">
        <f t="shared" ca="1" si="2"/>
        <v>99.870512785028723</v>
      </c>
    </row>
    <row r="35" spans="5:8">
      <c r="E35">
        <f t="shared" si="0"/>
        <v>32</v>
      </c>
      <c r="F35">
        <f t="shared" ca="1" si="1"/>
        <v>2.6773019806761136</v>
      </c>
      <c r="G35">
        <f ca="1">(Inputs!$D$8-0.5*Inputs!$D$7^2)/Inputs!$D$9+Inputs!$D$7*SQRT(1/Inputs!$D$9)*F35</f>
        <v>3.3651469327728507E-2</v>
      </c>
      <c r="H35">
        <f t="shared" ca="1" si="2"/>
        <v>103.28848971253423</v>
      </c>
    </row>
    <row r="36" spans="5:8">
      <c r="E36">
        <f t="shared" si="0"/>
        <v>33</v>
      </c>
      <c r="F36">
        <f t="shared" ca="1" si="1"/>
        <v>-0.10808181826263105</v>
      </c>
      <c r="G36">
        <f ca="1">(Inputs!$D$8-0.5*Inputs!$D$7^2)/Inputs!$D$9+Inputs!$D$7*SQRT(1/Inputs!$D$9)*F36</f>
        <v>-1.4410679954155602E-3</v>
      </c>
      <c r="H36">
        <f t="shared" ca="1" si="2"/>
        <v>103.13975117262962</v>
      </c>
    </row>
    <row r="37" spans="5:8">
      <c r="E37">
        <f t="shared" si="0"/>
        <v>34</v>
      </c>
      <c r="F37">
        <f t="shared" ca="1" si="1"/>
        <v>1.5834148808280499</v>
      </c>
      <c r="G37">
        <f ca="1">(Inputs!$D$8-0.5*Inputs!$D$7^2)/Inputs!$D$9+Inputs!$D$7*SQRT(1/Inputs!$D$9)*F37</f>
        <v>1.9869787286872997E-2</v>
      </c>
      <c r="H37">
        <f t="shared" ca="1" si="2"/>
        <v>105.20961183536714</v>
      </c>
    </row>
    <row r="38" spans="5:8">
      <c r="E38">
        <f t="shared" si="0"/>
        <v>35</v>
      </c>
      <c r="F38">
        <f t="shared" ca="1" si="1"/>
        <v>1.8634284368119625</v>
      </c>
      <c r="G38">
        <f ca="1">(Inputs!$D$8-0.5*Inputs!$D$7^2)/Inputs!$D$9+Inputs!$D$7*SQRT(1/Inputs!$D$9)*F38</f>
        <v>2.3397626490969641E-2</v>
      </c>
      <c r="H38">
        <f t="shared" ca="1" si="2"/>
        <v>107.70029140588296</v>
      </c>
    </row>
    <row r="39" spans="5:8">
      <c r="E39">
        <f t="shared" si="0"/>
        <v>36</v>
      </c>
      <c r="F39">
        <f t="shared" ca="1" si="1"/>
        <v>0.79688318230436672</v>
      </c>
      <c r="G39">
        <f ca="1">(Inputs!$D$8-0.5*Inputs!$D$7^2)/Inputs!$D$9+Inputs!$D$7*SQRT(1/Inputs!$D$9)*F39</f>
        <v>9.9604193222877849E-3</v>
      </c>
      <c r="H39">
        <f t="shared" ca="1" si="2"/>
        <v>108.778391721852</v>
      </c>
    </row>
    <row r="40" spans="5:8">
      <c r="E40">
        <f t="shared" si="0"/>
        <v>37</v>
      </c>
      <c r="F40">
        <f t="shared" ca="1" si="1"/>
        <v>0.56742494457485548</v>
      </c>
      <c r="G40">
        <f ca="1">(Inputs!$D$8-0.5*Inputs!$D$7^2)/Inputs!$D$9+Inputs!$D$7*SQRT(1/Inputs!$D$9)*F40</f>
        <v>7.0695172589190954E-3</v>
      </c>
      <c r="H40">
        <f t="shared" ca="1" si="2"/>
        <v>109.55012712374719</v>
      </c>
    </row>
    <row r="41" spans="5:8">
      <c r="E41">
        <f t="shared" si="0"/>
        <v>38</v>
      </c>
      <c r="F41">
        <f t="shared" ca="1" si="1"/>
        <v>-0.84969085154044366</v>
      </c>
      <c r="G41">
        <f ca="1">(Inputs!$D$8-0.5*Inputs!$D$7^2)/Inputs!$D$9+Inputs!$D$7*SQRT(1/Inputs!$D$9)*F41</f>
        <v>-1.0784463576806591E-2</v>
      </c>
      <c r="H41">
        <f t="shared" ca="1" si="2"/>
        <v>108.37503552325887</v>
      </c>
    </row>
    <row r="42" spans="5:8">
      <c r="E42">
        <f t="shared" si="0"/>
        <v>39</v>
      </c>
      <c r="F42">
        <f t="shared" ca="1" si="1"/>
        <v>1.0967580823706653</v>
      </c>
      <c r="G42">
        <f ca="1">(Inputs!$D$8-0.5*Inputs!$D$7^2)/Inputs!$D$9+Inputs!$D$7*SQRT(1/Inputs!$D$9)*F42</f>
        <v>1.3738487941362893E-2</v>
      </c>
      <c r="H42">
        <f t="shared" ca="1" si="2"/>
        <v>109.87421932085826</v>
      </c>
    </row>
    <row r="43" spans="5:8">
      <c r="E43">
        <f t="shared" si="0"/>
        <v>40</v>
      </c>
      <c r="F43">
        <f t="shared" ca="1" si="1"/>
        <v>-2.2974181225199959</v>
      </c>
      <c r="G43">
        <f ca="1">(Inputs!$D$8-0.5*Inputs!$D$7^2)/Inputs!$D$9+Inputs!$D$7*SQRT(1/Inputs!$D$9)*F43</f>
        <v>-2.9024112744702363E-2</v>
      </c>
      <c r="H43">
        <f t="shared" ca="1" si="2"/>
        <v>106.73105205905806</v>
      </c>
    </row>
    <row r="44" spans="5:8">
      <c r="E44">
        <f t="shared" si="0"/>
        <v>41</v>
      </c>
      <c r="F44">
        <f t="shared" ca="1" si="1"/>
        <v>0.16350946286424584</v>
      </c>
      <c r="G44">
        <f ca="1">(Inputs!$D$8-0.5*Inputs!$D$7^2)/Inputs!$D$9+Inputs!$D$7*SQRT(1/Inputs!$D$9)*F44</f>
        <v>1.9806605194184704E-3</v>
      </c>
      <c r="H44">
        <f t="shared" ca="1" si="2"/>
        <v>106.94265953217294</v>
      </c>
    </row>
    <row r="45" spans="5:8">
      <c r="E45">
        <f t="shared" si="0"/>
        <v>42</v>
      </c>
      <c r="F45">
        <f t="shared" ca="1" si="1"/>
        <v>0.83519938791001103</v>
      </c>
      <c r="G45">
        <f ca="1">(Inputs!$D$8-0.5*Inputs!$D$7^2)/Inputs!$D$9+Inputs!$D$7*SQRT(1/Inputs!$D$9)*F45</f>
        <v>1.0443158137602803E-2</v>
      </c>
      <c r="H45">
        <f t="shared" ca="1" si="2"/>
        <v>108.06533054966134</v>
      </c>
    </row>
    <row r="46" spans="5:8">
      <c r="E46">
        <f t="shared" si="0"/>
        <v>43</v>
      </c>
      <c r="F46">
        <f t="shared" ca="1" si="1"/>
        <v>-2.0767125772591468</v>
      </c>
      <c r="G46">
        <f ca="1">(Inputs!$D$8-0.5*Inputs!$D$7^2)/Inputs!$D$9+Inputs!$D$7*SQRT(1/Inputs!$D$9)*F46</f>
        <v>-2.624348424121133E-2</v>
      </c>
      <c r="H46">
        <f t="shared" ca="1" si="2"/>
        <v>105.26620974091489</v>
      </c>
    </row>
    <row r="47" spans="5:8">
      <c r="E47">
        <f t="shared" si="0"/>
        <v>44</v>
      </c>
      <c r="F47">
        <f t="shared" ca="1" si="1"/>
        <v>-1.0136066718040257</v>
      </c>
      <c r="G47">
        <f ca="1">(Inputs!$D$8-0.5*Inputs!$D$7^2)/Inputs!$D$9+Inputs!$D$7*SQRT(1/Inputs!$D$9)*F47</f>
        <v>-1.2849608797599926E-2</v>
      </c>
      <c r="H47">
        <f t="shared" ca="1" si="2"/>
        <v>103.92223340344043</v>
      </c>
    </row>
    <row r="48" spans="5:8">
      <c r="E48">
        <f t="shared" si="0"/>
        <v>45</v>
      </c>
      <c r="F48">
        <f t="shared" ca="1" si="1"/>
        <v>2.0274400720304815</v>
      </c>
      <c r="G48">
        <f ca="1">(Inputs!$D$8-0.5*Inputs!$D$7^2)/Inputs!$D$9+Inputs!$D$7*SQRT(1/Inputs!$D$9)*F48</f>
        <v>2.5463978866727945E-2</v>
      </c>
      <c r="H48">
        <f t="shared" ca="1" si="2"/>
        <v>106.60248709564458</v>
      </c>
    </row>
    <row r="49" spans="5:8">
      <c r="E49">
        <f t="shared" si="0"/>
        <v>46</v>
      </c>
      <c r="F49">
        <f t="shared" ca="1" si="1"/>
        <v>-1.1278560702405709</v>
      </c>
      <c r="G49">
        <f ca="1">(Inputs!$D$8-0.5*Inputs!$D$7^2)/Inputs!$D$9+Inputs!$D$7*SQRT(1/Inputs!$D$9)*F49</f>
        <v>-1.4289015919989594E-2</v>
      </c>
      <c r="H49">
        <f t="shared" ca="1" si="2"/>
        <v>105.09007364349229</v>
      </c>
    </row>
    <row r="50" spans="5:8">
      <c r="E50">
        <f t="shared" si="0"/>
        <v>47</v>
      </c>
      <c r="F50">
        <f t="shared" ca="1" si="1"/>
        <v>-0.51744661007159343</v>
      </c>
      <c r="G50">
        <f ca="1">(Inputs!$D$8-0.5*Inputs!$D$7^2)/Inputs!$D$9+Inputs!$D$7*SQRT(1/Inputs!$D$9)*F50</f>
        <v>-6.5985795889024436E-3</v>
      </c>
      <c r="H50">
        <f t="shared" ca="1" si="2"/>
        <v>104.39891128131768</v>
      </c>
    </row>
    <row r="51" spans="5:8">
      <c r="E51">
        <f t="shared" si="0"/>
        <v>48</v>
      </c>
      <c r="F51">
        <f t="shared" ca="1" si="1"/>
        <v>-2.0183642549607885</v>
      </c>
      <c r="G51">
        <f ca="1">(Inputs!$D$8-0.5*Inputs!$D$7^2)/Inputs!$D$9+Inputs!$D$7*SQRT(1/Inputs!$D$9)*F51</f>
        <v>-2.5508364478262279E-2</v>
      </c>
      <c r="H51">
        <f t="shared" ca="1" si="2"/>
        <v>101.76954380399039</v>
      </c>
    </row>
    <row r="52" spans="5:8">
      <c r="E52">
        <f t="shared" si="0"/>
        <v>49</v>
      </c>
      <c r="F52">
        <f t="shared" ca="1" si="1"/>
        <v>-1.4092432748923143</v>
      </c>
      <c r="G52">
        <f ca="1">(Inputs!$D$8-0.5*Inputs!$D$7^2)/Inputs!$D$9+Inputs!$D$7*SQRT(1/Inputs!$D$9)*F52</f>
        <v>-1.7834161470580784E-2</v>
      </c>
      <c r="H52">
        <f t="shared" ca="1" si="2"/>
        <v>99.970657817396614</v>
      </c>
    </row>
    <row r="53" spans="5:8">
      <c r="E53">
        <f t="shared" si="0"/>
        <v>50</v>
      </c>
      <c r="F53">
        <f t="shared" ca="1" si="1"/>
        <v>0.65458588889419922</v>
      </c>
      <c r="G53">
        <f ca="1">(Inputs!$D$8-0.5*Inputs!$D$7^2)/Inputs!$D$9+Inputs!$D$7*SQRT(1/Inputs!$D$9)*F53</f>
        <v>8.1676419384740066E-3</v>
      </c>
      <c r="H53">
        <f t="shared" ca="1" si="2"/>
        <v>100.79052599184125</v>
      </c>
    </row>
    <row r="54" spans="5:8">
      <c r="E54">
        <f t="shared" si="0"/>
        <v>51</v>
      </c>
      <c r="F54">
        <f t="shared" ca="1" si="1"/>
        <v>-0.8739802506441845</v>
      </c>
      <c r="G54">
        <f ca="1">(Inputs!$D$8-0.5*Inputs!$D$7^2)/Inputs!$D$9+Inputs!$D$7*SQRT(1/Inputs!$D$9)*F54</f>
        <v>-1.1090481241205132E-2</v>
      </c>
      <c r="H54">
        <f t="shared" ca="1" si="2"/>
        <v>99.678886258015382</v>
      </c>
    </row>
    <row r="55" spans="5:8">
      <c r="E55">
        <f t="shared" si="0"/>
        <v>52</v>
      </c>
      <c r="F55">
        <f t="shared" ca="1" si="1"/>
        <v>1.5279405273721152</v>
      </c>
      <c r="G55">
        <f ca="1">(Inputs!$D$8-0.5*Inputs!$D$7^2)/Inputs!$D$9+Inputs!$D$7*SQRT(1/Inputs!$D$9)*F55</f>
        <v>1.9170876127889664E-2</v>
      </c>
      <c r="H55">
        <f t="shared" ca="1" si="2"/>
        <v>101.60825257022458</v>
      </c>
    </row>
    <row r="56" spans="5:8">
      <c r="E56">
        <f t="shared" si="0"/>
        <v>53</v>
      </c>
      <c r="F56">
        <f t="shared" ca="1" si="1"/>
        <v>0.4957222524560238</v>
      </c>
      <c r="G56">
        <f ca="1">(Inputs!$D$8-0.5*Inputs!$D$7^2)/Inputs!$D$9+Inputs!$D$7*SQRT(1/Inputs!$D$9)*F56</f>
        <v>6.1661482509178592E-3</v>
      </c>
      <c r="H56">
        <f t="shared" ca="1" si="2"/>
        <v>102.23671973869038</v>
      </c>
    </row>
    <row r="57" spans="5:8">
      <c r="E57">
        <f t="shared" si="0"/>
        <v>54</v>
      </c>
      <c r="F57">
        <f t="shared" ca="1" si="1"/>
        <v>-0.63389969578061234</v>
      </c>
      <c r="G57">
        <f ca="1">(Inputs!$D$8-0.5*Inputs!$D$7^2)/Inputs!$D$9+Inputs!$D$7*SQRT(1/Inputs!$D$9)*F57</f>
        <v>-8.065750561246034E-3</v>
      </c>
      <c r="H57">
        <f t="shared" ca="1" si="2"/>
        <v>101.41542050899432</v>
      </c>
    </row>
    <row r="58" spans="5:8">
      <c r="E58">
        <f t="shared" si="0"/>
        <v>55</v>
      </c>
      <c r="F58">
        <f t="shared" ca="1" si="1"/>
        <v>0.22886457733956647</v>
      </c>
      <c r="G58">
        <f ca="1">(Inputs!$D$8-0.5*Inputs!$D$7^2)/Inputs!$D$9+Inputs!$D$7*SQRT(1/Inputs!$D$9)*F58</f>
        <v>2.8040575661225468E-3</v>
      </c>
      <c r="H58">
        <f t="shared" ca="1" si="2"/>
        <v>101.70019426059871</v>
      </c>
    </row>
    <row r="59" spans="5:8">
      <c r="E59">
        <f t="shared" si="0"/>
        <v>56</v>
      </c>
      <c r="F59">
        <f t="shared" ca="1" si="1"/>
        <v>-0.17251937106947171</v>
      </c>
      <c r="G59">
        <f ca="1">(Inputs!$D$8-0.5*Inputs!$D$7^2)/Inputs!$D$9+Inputs!$D$7*SQRT(1/Inputs!$D$9)*F59</f>
        <v>-2.2529048517036195E-3</v>
      </c>
      <c r="H59">
        <f t="shared" ca="1" si="2"/>
        <v>101.47133129956846</v>
      </c>
    </row>
    <row r="60" spans="5:8">
      <c r="E60">
        <f t="shared" si="0"/>
        <v>57</v>
      </c>
      <c r="F60">
        <f t="shared" ca="1" si="1"/>
        <v>0.70399568020725556</v>
      </c>
      <c r="G60">
        <f ca="1">(Inputs!$D$8-0.5*Inputs!$D$7^2)/Inputs!$D$9+Inputs!$D$7*SQRT(1/Inputs!$D$9)*F60</f>
        <v>8.7901467963118467E-3</v>
      </c>
      <c r="H60">
        <f t="shared" ca="1" si="2"/>
        <v>102.36721088538168</v>
      </c>
    </row>
    <row r="61" spans="5:8">
      <c r="E61">
        <f t="shared" si="0"/>
        <v>58</v>
      </c>
      <c r="F61">
        <f t="shared" ca="1" si="1"/>
        <v>-1.0464016700412839</v>
      </c>
      <c r="G61">
        <f ca="1">(Inputs!$D$8-0.5*Inputs!$D$7^2)/Inputs!$D$9+Inputs!$D$7*SQRT(1/Inputs!$D$9)*F61</f>
        <v>-1.3262786938469386E-2</v>
      </c>
      <c r="H61">
        <f t="shared" ca="1" si="2"/>
        <v>101.01849998057611</v>
      </c>
    </row>
    <row r="62" spans="5:8">
      <c r="E62">
        <f t="shared" si="0"/>
        <v>59</v>
      </c>
      <c r="F62">
        <f t="shared" ca="1" si="1"/>
        <v>-0.2910872400623164</v>
      </c>
      <c r="G62">
        <f ca="1">(Inputs!$D$8-0.5*Inputs!$D$7^2)/Inputs!$D$9+Inputs!$D$7*SQRT(1/Inputs!$D$9)*F62</f>
        <v>-3.7467195890272076E-3</v>
      </c>
      <c r="H62">
        <f t="shared" ca="1" si="2"/>
        <v>100.64072014733195</v>
      </c>
    </row>
    <row r="63" spans="5:8">
      <c r="E63">
        <f t="shared" si="0"/>
        <v>60</v>
      </c>
      <c r="F63">
        <f t="shared" ca="1" si="1"/>
        <v>-6.5323464493806771E-2</v>
      </c>
      <c r="G63">
        <f ca="1">(Inputs!$D$8-0.5*Inputs!$D$7^2)/Inputs!$D$9+Inputs!$D$7*SQRT(1/Inputs!$D$9)*F63</f>
        <v>-9.0236337378303414E-4</v>
      </c>
      <c r="H63">
        <f t="shared" ca="1" si="2"/>
        <v>100.5499466090774</v>
      </c>
    </row>
    <row r="64" spans="5:8">
      <c r="E64">
        <f t="shared" si="0"/>
        <v>61</v>
      </c>
      <c r="F64">
        <f t="shared" ca="1" si="1"/>
        <v>0.10567068288277487</v>
      </c>
      <c r="G64">
        <f ca="1">(Inputs!$D$8-0.5*Inputs!$D$7^2)/Inputs!$D$9+Inputs!$D$7*SQRT(1/Inputs!$D$9)*F64</f>
        <v>1.2519603862453598E-3</v>
      </c>
      <c r="H64">
        <f t="shared" ca="1" si="2"/>
        <v>100.67590999320159</v>
      </c>
    </row>
    <row r="65" spans="5:8">
      <c r="E65">
        <f t="shared" si="0"/>
        <v>62</v>
      </c>
      <c r="F65">
        <f t="shared" ca="1" si="1"/>
        <v>0.38450909933652505</v>
      </c>
      <c r="G65">
        <f ca="1">(Inputs!$D$8-0.5*Inputs!$D$7^2)/Inputs!$D$9+Inputs!$D$7*SQRT(1/Inputs!$D$9)*F65</f>
        <v>4.7649942239009974E-3</v>
      </c>
      <c r="H65">
        <f t="shared" ca="1" si="2"/>
        <v>101.15677487214759</v>
      </c>
    </row>
    <row r="66" spans="5:8">
      <c r="E66">
        <f t="shared" si="0"/>
        <v>63</v>
      </c>
      <c r="F66">
        <f t="shared" ca="1" si="1"/>
        <v>0.74559692937080979</v>
      </c>
      <c r="G66">
        <f ca="1">(Inputs!$D$8-0.5*Inputs!$D$7^2)/Inputs!$D$9+Inputs!$D$7*SQRT(1/Inputs!$D$9)*F66</f>
        <v>9.3142732701994579E-3</v>
      </c>
      <c r="H66">
        <f t="shared" ca="1" si="2"/>
        <v>102.10337833450943</v>
      </c>
    </row>
    <row r="67" spans="5:8">
      <c r="E67">
        <f t="shared" si="0"/>
        <v>64</v>
      </c>
      <c r="F67">
        <f t="shared" ca="1" si="1"/>
        <v>-0.57889831432188665</v>
      </c>
      <c r="G67">
        <f ca="1">(Inputs!$D$8-0.5*Inputs!$D$7^2)/Inputs!$D$9+Inputs!$D$7*SQRT(1/Inputs!$D$9)*F67</f>
        <v>-7.3727982893184753E-3</v>
      </c>
      <c r="H67">
        <f t="shared" ca="1" si="2"/>
        <v>101.35335898953214</v>
      </c>
    </row>
    <row r="68" spans="5:8">
      <c r="E68">
        <f t="shared" si="0"/>
        <v>65</v>
      </c>
      <c r="F68">
        <f t="shared" ca="1" si="1"/>
        <v>8.0087752325095324E-2</v>
      </c>
      <c r="G68">
        <f ca="1">(Inputs!$D$8-0.5*Inputs!$D$7^2)/Inputs!$D$9+Inputs!$D$7*SQRT(1/Inputs!$D$9)*F68</f>
        <v>9.2964575736985964E-4</v>
      </c>
      <c r="H68">
        <f t="shared" ca="1" si="2"/>
        <v>101.44762552016297</v>
      </c>
    </row>
    <row r="69" spans="5:8">
      <c r="E69">
        <f t="shared" ref="E69:E132" si="3">+E68+1</f>
        <v>66</v>
      </c>
      <c r="F69">
        <f t="shared" ref="F69:F132" ca="1" si="4">_xlfn.NORM.S.INV(RAND())</f>
        <v>0.84502028103927795</v>
      </c>
      <c r="G69">
        <f ca="1">(Inputs!$D$8-0.5*Inputs!$D$7^2)/Inputs!$D$9+Inputs!$D$7*SQRT(1/Inputs!$D$9)*F69</f>
        <v>1.0566889760805579E-2</v>
      </c>
      <c r="H69">
        <f t="shared" ref="H69:H132" ca="1" si="5">H68*EXP(G69)</f>
        <v>102.52529517613465</v>
      </c>
    </row>
    <row r="70" spans="5:8">
      <c r="E70">
        <f t="shared" si="3"/>
        <v>67</v>
      </c>
      <c r="F70">
        <f t="shared" ca="1" si="4"/>
        <v>-1.7730598205467289</v>
      </c>
      <c r="G70">
        <f ca="1">(Inputs!$D$8-0.5*Inputs!$D$7^2)/Inputs!$D$9+Inputs!$D$7*SQRT(1/Inputs!$D$9)*F70</f>
        <v>-2.2417819102257729E-2</v>
      </c>
      <c r="H70">
        <f t="shared" ca="1" si="5"/>
        <v>100.25247270175687</v>
      </c>
    </row>
    <row r="71" spans="5:8">
      <c r="E71">
        <f t="shared" si="3"/>
        <v>68</v>
      </c>
      <c r="F71">
        <f t="shared" ca="1" si="4"/>
        <v>2.0383290572726822</v>
      </c>
      <c r="G71">
        <f ca="1">(Inputs!$D$8-0.5*Inputs!$D$7^2)/Inputs!$D$9+Inputs!$D$7*SQRT(1/Inputs!$D$9)*F71</f>
        <v>2.5601167185683733E-2</v>
      </c>
      <c r="H71">
        <f t="shared" ca="1" si="5"/>
        <v>102.85218891025359</v>
      </c>
    </row>
    <row r="72" spans="5:8">
      <c r="E72">
        <f t="shared" si="3"/>
        <v>69</v>
      </c>
      <c r="F72">
        <f t="shared" ca="1" si="4"/>
        <v>-2.4037333006247494</v>
      </c>
      <c r="G72">
        <f ca="1">(Inputs!$D$8-0.5*Inputs!$D$7^2)/Inputs!$D$9+Inputs!$D$7*SQRT(1/Inputs!$D$9)*F72</f>
        <v>-3.0363558086877209E-2</v>
      </c>
      <c r="H72">
        <f t="shared" ca="1" si="5"/>
        <v>99.776166316770201</v>
      </c>
    </row>
    <row r="73" spans="5:8">
      <c r="E73">
        <f t="shared" si="3"/>
        <v>70</v>
      </c>
      <c r="F73">
        <f t="shared" ca="1" si="4"/>
        <v>3.7969845126179765E-3</v>
      </c>
      <c r="G73">
        <f ca="1">(Inputs!$D$8-0.5*Inputs!$D$7^2)/Inputs!$D$9+Inputs!$D$7*SQRT(1/Inputs!$D$9)*F73</f>
        <v>-3.1527571020551005E-5</v>
      </c>
      <c r="H73">
        <f t="shared" ca="1" si="5"/>
        <v>99.773020666188117</v>
      </c>
    </row>
    <row r="74" spans="5:8">
      <c r="E74">
        <f t="shared" si="3"/>
        <v>71</v>
      </c>
      <c r="F74">
        <f t="shared" ca="1" si="4"/>
        <v>0.58212359576267658</v>
      </c>
      <c r="G74">
        <f ca="1">(Inputs!$D$8-0.5*Inputs!$D$7^2)/Inputs!$D$9+Inputs!$D$7*SQRT(1/Inputs!$D$9)*F74</f>
        <v>7.2547028572574708E-3</v>
      </c>
      <c r="H74">
        <f t="shared" ca="1" si="5"/>
        <v>100.49947620768526</v>
      </c>
    </row>
    <row r="75" spans="5:8">
      <c r="E75">
        <f t="shared" si="3"/>
        <v>72</v>
      </c>
      <c r="F75">
        <f t="shared" ca="1" si="4"/>
        <v>-0.42141665949908091</v>
      </c>
      <c r="G75">
        <f ca="1">(Inputs!$D$8-0.5*Inputs!$D$7^2)/Inputs!$D$9+Inputs!$D$7*SQRT(1/Inputs!$D$9)*F75</f>
        <v>-5.3887159335277157E-3</v>
      </c>
      <c r="H75">
        <f t="shared" ca="1" si="5"/>
        <v>99.959369626382909</v>
      </c>
    </row>
    <row r="76" spans="5:8">
      <c r="E76">
        <f t="shared" si="3"/>
        <v>73</v>
      </c>
      <c r="F76">
        <f t="shared" ca="1" si="4"/>
        <v>-0.13471089544525056</v>
      </c>
      <c r="G76">
        <f ca="1">(Inputs!$D$8-0.5*Inputs!$D$7^2)/Inputs!$D$9+Inputs!$D$7*SQRT(1/Inputs!$D$9)*F76</f>
        <v>-1.7765628328839209E-3</v>
      </c>
      <c r="H76">
        <f t="shared" ca="1" si="5"/>
        <v>99.781943176789881</v>
      </c>
    </row>
    <row r="77" spans="5:8">
      <c r="E77">
        <f t="shared" si="3"/>
        <v>74</v>
      </c>
      <c r="F77">
        <f t="shared" ca="1" si="4"/>
        <v>0.33709707431360103</v>
      </c>
      <c r="G77">
        <f ca="1">(Inputs!$D$8-0.5*Inputs!$D$7^2)/Inputs!$D$9+Inputs!$D$7*SQRT(1/Inputs!$D$9)*F77</f>
        <v>4.1676588554980052E-3</v>
      </c>
      <c r="H77">
        <f t="shared" ca="1" si="5"/>
        <v>100.198668056269</v>
      </c>
    </row>
    <row r="78" spans="5:8">
      <c r="E78">
        <f t="shared" si="3"/>
        <v>75</v>
      </c>
      <c r="F78">
        <f t="shared" ca="1" si="4"/>
        <v>-0.74011586259493023</v>
      </c>
      <c r="G78">
        <f ca="1">(Inputs!$D$8-0.5*Inputs!$D$7^2)/Inputs!$D$9+Inputs!$D$7*SQRT(1/Inputs!$D$9)*F78</f>
        <v>-9.4039484784138282E-3</v>
      </c>
      <c r="H78">
        <f t="shared" ca="1" si="5"/>
        <v>99.260821585675899</v>
      </c>
    </row>
    <row r="79" spans="5:8">
      <c r="E79">
        <f t="shared" si="3"/>
        <v>76</v>
      </c>
      <c r="F79">
        <f t="shared" ca="1" si="4"/>
        <v>0.31550661739580071</v>
      </c>
      <c r="G79">
        <f ca="1">(Inputs!$D$8-0.5*Inputs!$D$7^2)/Inputs!$D$9+Inputs!$D$7*SQRT(1/Inputs!$D$9)*F79</f>
        <v>3.8956446664658445E-3</v>
      </c>
      <c r="H79">
        <f t="shared" ca="1" si="5"/>
        <v>99.648260648351524</v>
      </c>
    </row>
    <row r="80" spans="5:8">
      <c r="E80">
        <f t="shared" si="3"/>
        <v>77</v>
      </c>
      <c r="F80">
        <f t="shared" ca="1" si="4"/>
        <v>-0.47682325046422275</v>
      </c>
      <c r="G80">
        <f ca="1">(Inputs!$D$8-0.5*Inputs!$D$7^2)/Inputs!$D$9+Inputs!$D$7*SQRT(1/Inputs!$D$9)*F80</f>
        <v>-6.0867733653736369E-3</v>
      </c>
      <c r="H80">
        <f t="shared" ca="1" si="5"/>
        <v>99.043566454719539</v>
      </c>
    </row>
    <row r="81" spans="5:8">
      <c r="E81">
        <f t="shared" si="3"/>
        <v>78</v>
      </c>
      <c r="F81">
        <f t="shared" ca="1" si="4"/>
        <v>9.1722995758110101E-3</v>
      </c>
      <c r="G81">
        <f ca="1">(Inputs!$D$8-0.5*Inputs!$D$7^2)/Inputs!$D$9+Inputs!$D$7*SQRT(1/Inputs!$D$9)*F81</f>
        <v>3.6195033150059522E-5</v>
      </c>
      <c r="H81">
        <f t="shared" ca="1" si="5"/>
        <v>99.047151404768968</v>
      </c>
    </row>
    <row r="82" spans="5:8">
      <c r="E82">
        <f t="shared" si="3"/>
        <v>79</v>
      </c>
      <c r="F82">
        <f t="shared" ca="1" si="4"/>
        <v>-0.44281473474622751</v>
      </c>
      <c r="G82">
        <f ca="1">(Inputs!$D$8-0.5*Inputs!$D$7^2)/Inputs!$D$9+Inputs!$D$7*SQRT(1/Inputs!$D$9)*F82</f>
        <v>-5.6583063413343671E-3</v>
      </c>
      <c r="H82">
        <f t="shared" ca="1" si="5"/>
        <v>98.488294861693575</v>
      </c>
    </row>
    <row r="83" spans="5:8">
      <c r="E83">
        <f t="shared" si="3"/>
        <v>80</v>
      </c>
      <c r="F83">
        <f t="shared" ca="1" si="4"/>
        <v>-1.0963952624381459</v>
      </c>
      <c r="G83">
        <f ca="1">(Inputs!$D$8-0.5*Inputs!$D$7^2)/Inputs!$D$9+Inputs!$D$7*SQRT(1/Inputs!$D$9)*F83</f>
        <v>-1.3892646998606654E-2</v>
      </c>
      <c r="H83">
        <f t="shared" ca="1" si="5"/>
        <v>97.129492284600744</v>
      </c>
    </row>
    <row r="84" spans="5:8">
      <c r="E84">
        <f t="shared" si="3"/>
        <v>81</v>
      </c>
      <c r="F84">
        <f t="shared" ca="1" si="4"/>
        <v>-1.229455121932896</v>
      </c>
      <c r="G84">
        <f ca="1">(Inputs!$D$8-0.5*Inputs!$D$7^2)/Inputs!$D$9+Inputs!$D$7*SQRT(1/Inputs!$D$9)*F84</f>
        <v>-1.5569043654360489E-2</v>
      </c>
      <c r="H84">
        <f t="shared" ca="1" si="5"/>
        <v>95.628989981440526</v>
      </c>
    </row>
    <row r="85" spans="5:8">
      <c r="E85">
        <f t="shared" si="3"/>
        <v>82</v>
      </c>
      <c r="F85">
        <f t="shared" ca="1" si="4"/>
        <v>1.0647325468636868</v>
      </c>
      <c r="G85">
        <f ca="1">(Inputs!$D$8-0.5*Inputs!$D$7^2)/Inputs!$D$9+Inputs!$D$7*SQRT(1/Inputs!$D$9)*F85</f>
        <v>1.3335004119671779E-2</v>
      </c>
      <c r="H85">
        <f t="shared" ca="1" si="5"/>
        <v>96.912743361832256</v>
      </c>
    </row>
    <row r="86" spans="5:8">
      <c r="E86">
        <f t="shared" si="3"/>
        <v>83</v>
      </c>
      <c r="F86">
        <f t="shared" ca="1" si="4"/>
        <v>1.5164005532893181</v>
      </c>
      <c r="G86">
        <f ca="1">(Inputs!$D$8-0.5*Inputs!$D$7^2)/Inputs!$D$9+Inputs!$D$7*SQRT(1/Inputs!$D$9)*F86</f>
        <v>1.9025486120464848E-2</v>
      </c>
      <c r="H86">
        <f t="shared" ca="1" si="5"/>
        <v>98.774206890804862</v>
      </c>
    </row>
    <row r="87" spans="5:8">
      <c r="E87">
        <f t="shared" si="3"/>
        <v>84</v>
      </c>
      <c r="F87">
        <f t="shared" ca="1" si="4"/>
        <v>1.119352261337951</v>
      </c>
      <c r="G87">
        <f ca="1">(Inputs!$D$8-0.5*Inputs!$D$7^2)/Inputs!$D$9+Inputs!$D$7*SQRT(1/Inputs!$D$9)*F87</f>
        <v>1.4023147839577768E-2</v>
      </c>
      <c r="H87">
        <f t="shared" ca="1" si="5"/>
        <v>100.16908966201896</v>
      </c>
    </row>
    <row r="88" spans="5:8">
      <c r="E88">
        <f t="shared" si="3"/>
        <v>85</v>
      </c>
      <c r="F88">
        <f t="shared" ca="1" si="4"/>
        <v>0.60576606938448763</v>
      </c>
      <c r="G88">
        <f ca="1">(Inputs!$D$8-0.5*Inputs!$D$7^2)/Inputs!$D$9+Inputs!$D$7*SQRT(1/Inputs!$D$9)*F88</f>
        <v>7.5525700266942161E-3</v>
      </c>
      <c r="H88">
        <f t="shared" ca="1" si="5"/>
        <v>100.92848782033367</v>
      </c>
    </row>
    <row r="89" spans="5:8">
      <c r="E89">
        <f t="shared" si="3"/>
        <v>86</v>
      </c>
      <c r="F89">
        <f t="shared" ca="1" si="4"/>
        <v>-0.9569651243853966</v>
      </c>
      <c r="G89">
        <f ca="1">(Inputs!$D$8-0.5*Inputs!$D$7^2)/Inputs!$D$9+Inputs!$D$7*SQRT(1/Inputs!$D$9)*F89</f>
        <v>-1.2135992376916281E-2</v>
      </c>
      <c r="H89">
        <f t="shared" ca="1" si="5"/>
        <v>99.71102297611634</v>
      </c>
    </row>
    <row r="90" spans="5:8">
      <c r="E90">
        <f t="shared" si="3"/>
        <v>87</v>
      </c>
      <c r="F90">
        <f t="shared" ca="1" si="4"/>
        <v>-0.21193832498226597</v>
      </c>
      <c r="G90">
        <f ca="1">(Inputs!$D$8-0.5*Inputs!$D$7^2)/Inputs!$D$9+Inputs!$D$7*SQRT(1/Inputs!$D$9)*F90</f>
        <v>-2.7495369897777627E-3</v>
      </c>
      <c r="H90">
        <f t="shared" ca="1" si="5"/>
        <v>99.437240390310293</v>
      </c>
    </row>
    <row r="91" spans="5:8">
      <c r="E91">
        <f t="shared" si="3"/>
        <v>88</v>
      </c>
      <c r="F91">
        <f t="shared" ca="1" si="4"/>
        <v>-0.29081140413735779</v>
      </c>
      <c r="G91">
        <f ca="1">(Inputs!$D$8-0.5*Inputs!$D$7^2)/Inputs!$D$9+Inputs!$D$7*SQRT(1/Inputs!$D$9)*F91</f>
        <v>-3.7432443830267407E-3</v>
      </c>
      <c r="H91">
        <f t="shared" ca="1" si="5"/>
        <v>99.065718281589028</v>
      </c>
    </row>
    <row r="92" spans="5:8">
      <c r="E92">
        <f t="shared" si="3"/>
        <v>89</v>
      </c>
      <c r="F92">
        <f t="shared" ca="1" si="4"/>
        <v>-0.58274029801979532</v>
      </c>
      <c r="G92">
        <f ca="1">(Inputs!$D$8-0.5*Inputs!$D$7^2)/Inputs!$D$9+Inputs!$D$7*SQRT(1/Inputs!$D$9)*F92</f>
        <v>-7.4212027341081449E-3</v>
      </c>
      <c r="H92">
        <f t="shared" ca="1" si="5"/>
        <v>98.333252751481382</v>
      </c>
    </row>
    <row r="93" spans="5:8">
      <c r="E93">
        <f t="shared" si="3"/>
        <v>90</v>
      </c>
      <c r="F93">
        <f t="shared" ca="1" si="4"/>
        <v>0.20715738229589759</v>
      </c>
      <c r="G93">
        <f ca="1">(Inputs!$D$8-0.5*Inputs!$D$7^2)/Inputs!$D$9+Inputs!$D$7*SQRT(1/Inputs!$D$9)*F93</f>
        <v>2.5305726149495861E-3</v>
      </c>
      <c r="H93">
        <f t="shared" ca="1" si="5"/>
        <v>98.582407306919364</v>
      </c>
    </row>
    <row r="94" spans="5:8">
      <c r="E94">
        <f t="shared" si="3"/>
        <v>91</v>
      </c>
      <c r="F94">
        <f t="shared" ca="1" si="4"/>
        <v>-0.42288373890555186</v>
      </c>
      <c r="G94">
        <f ca="1">(Inputs!$D$8-0.5*Inputs!$D$7^2)/Inputs!$D$9+Inputs!$D$7*SQRT(1/Inputs!$D$9)*F94</f>
        <v>-5.4071993966853648E-3</v>
      </c>
      <c r="H94">
        <f t="shared" ca="1" si="5"/>
        <v>98.050791146170951</v>
      </c>
    </row>
    <row r="95" spans="5:8">
      <c r="E95">
        <f t="shared" si="3"/>
        <v>92</v>
      </c>
      <c r="F95">
        <f t="shared" ca="1" si="4"/>
        <v>-1.0466317523394992</v>
      </c>
      <c r="G95">
        <f ca="1">(Inputs!$D$8-0.5*Inputs!$D$7^2)/Inputs!$D$9+Inputs!$D$7*SQRT(1/Inputs!$D$9)*F95</f>
        <v>-1.3265685702955844E-2</v>
      </c>
      <c r="H95">
        <f t="shared" ca="1" si="5"/>
        <v>96.758669556088805</v>
      </c>
    </row>
    <row r="96" spans="5:8">
      <c r="E96">
        <f t="shared" si="3"/>
        <v>93</v>
      </c>
      <c r="F96">
        <f t="shared" ca="1" si="4"/>
        <v>-0.77609609847364913</v>
      </c>
      <c r="G96">
        <f ca="1">(Inputs!$D$8-0.5*Inputs!$D$7^2)/Inputs!$D$9+Inputs!$D$7*SQRT(1/Inputs!$D$9)*F96</f>
        <v>-9.857256841502085E-3</v>
      </c>
      <c r="H96">
        <f t="shared" ca="1" si="5"/>
        <v>95.809579893801967</v>
      </c>
    </row>
    <row r="97" spans="5:8">
      <c r="E97">
        <f t="shared" si="3"/>
        <v>94</v>
      </c>
      <c r="F97">
        <f t="shared" ca="1" si="4"/>
        <v>0.41741392528031063</v>
      </c>
      <c r="G97">
        <f ca="1">(Inputs!$D$8-0.5*Inputs!$D$7^2)/Inputs!$D$9+Inputs!$D$7*SQRT(1/Inputs!$D$9)*F97</f>
        <v>5.1795560638111067E-3</v>
      </c>
      <c r="H97">
        <f t="shared" ca="1" si="5"/>
        <v>96.307118386248405</v>
      </c>
    </row>
    <row r="98" spans="5:8">
      <c r="E98">
        <f t="shared" si="3"/>
        <v>95</v>
      </c>
      <c r="F98">
        <f t="shared" ca="1" si="4"/>
        <v>-0.28954644320345452</v>
      </c>
      <c r="G98">
        <f ca="1">(Inputs!$D$8-0.5*Inputs!$D$7^2)/Inputs!$D$9+Inputs!$D$7*SQRT(1/Inputs!$D$9)*F98</f>
        <v>-3.727307373268074E-3</v>
      </c>
      <c r="H98">
        <f t="shared" ca="1" si="5"/>
        <v>95.948820312130024</v>
      </c>
    </row>
    <row r="99" spans="5:8">
      <c r="E99">
        <f t="shared" si="3"/>
        <v>96</v>
      </c>
      <c r="F99">
        <f t="shared" ca="1" si="4"/>
        <v>0.51224465327762014</v>
      </c>
      <c r="G99">
        <f ca="1">(Inputs!$D$8-0.5*Inputs!$D$7^2)/Inputs!$D$9+Inputs!$D$7*SQRT(1/Inputs!$D$9)*F99</f>
        <v>6.3743109348972553E-3</v>
      </c>
      <c r="H99">
        <f t="shared" ca="1" si="5"/>
        <v>96.562381363587761</v>
      </c>
    </row>
    <row r="100" spans="5:8">
      <c r="E100">
        <f t="shared" si="3"/>
        <v>97</v>
      </c>
      <c r="F100">
        <f t="shared" ca="1" si="4"/>
        <v>-1.6664501788040054</v>
      </c>
      <c r="G100">
        <f ca="1">(Inputs!$D$8-0.5*Inputs!$D$7^2)/Inputs!$D$9+Inputs!$D$7*SQRT(1/Inputs!$D$9)*F100</f>
        <v>-2.1074663866958027E-2</v>
      </c>
      <c r="H100">
        <f t="shared" ca="1" si="5"/>
        <v>94.548655463434685</v>
      </c>
    </row>
    <row r="101" spans="5:8">
      <c r="E101">
        <f t="shared" si="3"/>
        <v>98</v>
      </c>
      <c r="F101">
        <f t="shared" ca="1" si="4"/>
        <v>0.39011627508995561</v>
      </c>
      <c r="G101">
        <f ca="1">(Inputs!$D$8-0.5*Inputs!$D$7^2)/Inputs!$D$9+Inputs!$D$7*SQRT(1/Inputs!$D$9)*F101</f>
        <v>4.8356379981915141E-3</v>
      </c>
      <c r="H101">
        <f t="shared" ca="1" si="5"/>
        <v>95.006965752725989</v>
      </c>
    </row>
    <row r="102" spans="5:8">
      <c r="E102">
        <f t="shared" si="3"/>
        <v>99</v>
      </c>
      <c r="F102">
        <f t="shared" ca="1" si="4"/>
        <v>2.9027957806175326</v>
      </c>
      <c r="G102">
        <f ca="1">(Inputs!$D$8-0.5*Inputs!$D$7^2)/Inputs!$D$9+Inputs!$D$7*SQRT(1/Inputs!$D$9)*F102</f>
        <v>3.649242416978539E-2</v>
      </c>
      <c r="H102">
        <f t="shared" ca="1" si="5"/>
        <v>98.538037071155514</v>
      </c>
    </row>
    <row r="103" spans="5:8">
      <c r="E103">
        <f t="shared" si="3"/>
        <v>100</v>
      </c>
      <c r="F103">
        <f t="shared" ca="1" si="4"/>
        <v>0.99153475639174082</v>
      </c>
      <c r="G103">
        <f ca="1">(Inputs!$D$8-0.5*Inputs!$D$7^2)/Inputs!$D$9+Inputs!$D$7*SQRT(1/Inputs!$D$9)*F103</f>
        <v>1.2412798642966148E-2</v>
      </c>
      <c r="H103">
        <f t="shared" ca="1" si="5"/>
        <v>99.76879264192047</v>
      </c>
    </row>
    <row r="104" spans="5:8">
      <c r="E104">
        <f t="shared" si="3"/>
        <v>101</v>
      </c>
      <c r="F104">
        <f t="shared" ca="1" si="4"/>
        <v>1.0115345387494754</v>
      </c>
      <c r="G104">
        <f ca="1">(Inputs!$D$8-0.5*Inputs!$D$7^2)/Inputs!$D$9+Inputs!$D$7*SQRT(1/Inputs!$D$9)*F104</f>
        <v>1.2664772216270829E-2</v>
      </c>
      <c r="H104">
        <f t="shared" ca="1" si="5"/>
        <v>101.04037684071746</v>
      </c>
    </row>
    <row r="105" spans="5:8">
      <c r="E105">
        <f t="shared" si="3"/>
        <v>102</v>
      </c>
      <c r="F105">
        <f t="shared" ca="1" si="4"/>
        <v>-0.58181873071900203</v>
      </c>
      <c r="G105">
        <f ca="1">(Inputs!$D$8-0.5*Inputs!$D$7^2)/Inputs!$D$9+Inputs!$D$7*SQRT(1/Inputs!$D$9)*F105</f>
        <v>-7.4095920774685832E-3</v>
      </c>
      <c r="H105">
        <f t="shared" ca="1" si="5"/>
        <v>100.29447568922772</v>
      </c>
    </row>
    <row r="106" spans="5:8">
      <c r="E106">
        <f t="shared" si="3"/>
        <v>103</v>
      </c>
      <c r="F106">
        <f t="shared" ca="1" si="4"/>
        <v>-2.0065787168243467</v>
      </c>
      <c r="G106">
        <f ca="1">(Inputs!$D$8-0.5*Inputs!$D$7^2)/Inputs!$D$9+Inputs!$D$7*SQRT(1/Inputs!$D$9)*F106</f>
        <v>-2.53598806545666E-2</v>
      </c>
      <c r="H106">
        <f t="shared" ca="1" si="5"/>
        <v>97.782999718546677</v>
      </c>
    </row>
    <row r="107" spans="5:8">
      <c r="E107">
        <f t="shared" si="3"/>
        <v>104</v>
      </c>
      <c r="F107">
        <f t="shared" ca="1" si="4"/>
        <v>0.93451304071120234</v>
      </c>
      <c r="G107">
        <f ca="1">(Inputs!$D$8-0.5*Inputs!$D$7^2)/Inputs!$D$9+Inputs!$D$7*SQRT(1/Inputs!$D$9)*F107</f>
        <v>1.1694392552390258E-2</v>
      </c>
      <c r="H107">
        <f t="shared" ca="1" si="5"/>
        <v>98.933224986518596</v>
      </c>
    </row>
    <row r="108" spans="5:8">
      <c r="E108">
        <f t="shared" si="3"/>
        <v>105</v>
      </c>
      <c r="F108">
        <f t="shared" ca="1" si="4"/>
        <v>1.4660539443624119</v>
      </c>
      <c r="G108">
        <f ca="1">(Inputs!$D$8-0.5*Inputs!$D$7^2)/Inputs!$D$9+Inputs!$D$7*SQRT(1/Inputs!$D$9)*F108</f>
        <v>1.8391178470102854E-2</v>
      </c>
      <c r="H108">
        <f t="shared" ca="1" si="5"/>
        <v>100.7695579887382</v>
      </c>
    </row>
    <row r="109" spans="5:8">
      <c r="E109">
        <f t="shared" si="3"/>
        <v>106</v>
      </c>
      <c r="F109">
        <f t="shared" ca="1" si="4"/>
        <v>-0.83371318307179576</v>
      </c>
      <c r="G109">
        <f ca="1">(Inputs!$D$8-0.5*Inputs!$D$7^2)/Inputs!$D$9+Inputs!$D$7*SQRT(1/Inputs!$D$9)*F109</f>
        <v>-1.0583163875384303E-2</v>
      </c>
      <c r="H109">
        <f t="shared" ca="1" si="5"/>
        <v>99.708720652010015</v>
      </c>
    </row>
    <row r="110" spans="5:8">
      <c r="E110">
        <f t="shared" si="3"/>
        <v>107</v>
      </c>
      <c r="F110">
        <f t="shared" ca="1" si="4"/>
        <v>-0.39024159410828418</v>
      </c>
      <c r="G110">
        <f ca="1">(Inputs!$D$8-0.5*Inputs!$D$7^2)/Inputs!$D$9+Inputs!$D$7*SQRT(1/Inputs!$D$9)*F110</f>
        <v>-4.995947028145693E-3</v>
      </c>
      <c r="H110">
        <f t="shared" ca="1" si="5"/>
        <v>99.211823435000241</v>
      </c>
    </row>
    <row r="111" spans="5:8">
      <c r="E111">
        <f t="shared" si="3"/>
        <v>108</v>
      </c>
      <c r="F111">
        <f t="shared" ca="1" si="4"/>
        <v>-1.2708865669174645</v>
      </c>
      <c r="G111">
        <f ca="1">(Inputs!$D$8-0.5*Inputs!$D$7^2)/Inputs!$D$9+Inputs!$D$7*SQRT(1/Inputs!$D$9)*F111</f>
        <v>-1.6091030796680596E-2</v>
      </c>
      <c r="H111">
        <f t="shared" ca="1" si="5"/>
        <v>97.628178339516808</v>
      </c>
    </row>
    <row r="112" spans="5:8">
      <c r="E112">
        <f t="shared" si="3"/>
        <v>109</v>
      </c>
      <c r="F112">
        <f t="shared" ca="1" si="4"/>
        <v>-0.28606671149652985</v>
      </c>
      <c r="G112">
        <f ca="1">(Inputs!$D$8-0.5*Inputs!$D$7^2)/Inputs!$D$9+Inputs!$D$7*SQRT(1/Inputs!$D$9)*F112</f>
        <v>-3.6834668745740311E-3</v>
      </c>
      <c r="H112">
        <f t="shared" ca="1" si="5"/>
        <v>97.269229672190136</v>
      </c>
    </row>
    <row r="113" spans="5:8">
      <c r="E113">
        <f t="shared" si="3"/>
        <v>110</v>
      </c>
      <c r="F113">
        <f t="shared" ca="1" si="4"/>
        <v>0.70512335983304408</v>
      </c>
      <c r="G113">
        <f ca="1">(Inputs!$D$8-0.5*Inputs!$D$7^2)/Inputs!$D$9+Inputs!$D$7*SQRT(1/Inputs!$D$9)*F113</f>
        <v>8.804354224161327E-3</v>
      </c>
      <c r="H113">
        <f t="shared" ca="1" si="5"/>
        <v>98.129403506424978</v>
      </c>
    </row>
    <row r="114" spans="5:8">
      <c r="E114">
        <f t="shared" si="3"/>
        <v>111</v>
      </c>
      <c r="F114">
        <f t="shared" ca="1" si="4"/>
        <v>1.0712302533721532</v>
      </c>
      <c r="G114">
        <f ca="1">(Inputs!$D$8-0.5*Inputs!$D$7^2)/Inputs!$D$9+Inputs!$D$7*SQRT(1/Inputs!$D$9)*F114</f>
        <v>1.3416867526879815E-2</v>
      </c>
      <c r="H114">
        <f t="shared" ca="1" si="5"/>
        <v>99.454864598485415</v>
      </c>
    </row>
    <row r="115" spans="5:8">
      <c r="E115">
        <f t="shared" si="3"/>
        <v>112</v>
      </c>
      <c r="F115">
        <f t="shared" ca="1" si="4"/>
        <v>0.72309173549324435</v>
      </c>
      <c r="G115">
        <f ca="1">(Inputs!$D$8-0.5*Inputs!$D$7^2)/Inputs!$D$9+Inputs!$D$7*SQRT(1/Inputs!$D$9)*F115</f>
        <v>9.0307344787359748E-3</v>
      </c>
      <c r="H115">
        <f t="shared" ca="1" si="5"/>
        <v>100.35708278811994</v>
      </c>
    </row>
    <row r="116" spans="5:8">
      <c r="E116">
        <f t="shared" si="3"/>
        <v>113</v>
      </c>
      <c r="F116">
        <f t="shared" ca="1" si="4"/>
        <v>-2.7713135607088296E-2</v>
      </c>
      <c r="G116">
        <f ca="1">(Inputs!$D$8-0.5*Inputs!$D$7^2)/Inputs!$D$9+Inputs!$D$7*SQRT(1/Inputs!$D$9)*F116</f>
        <v>-4.2851776920395867E-4</v>
      </c>
      <c r="H116">
        <f t="shared" ca="1" si="5"/>
        <v>100.31408720772278</v>
      </c>
    </row>
    <row r="117" spans="5:8">
      <c r="E117">
        <f t="shared" si="3"/>
        <v>114</v>
      </c>
      <c r="F117">
        <f t="shared" ca="1" si="4"/>
        <v>-0.74997242503707628</v>
      </c>
      <c r="G117">
        <f ca="1">(Inputs!$D$8-0.5*Inputs!$D$7^2)/Inputs!$D$9+Inputs!$D$7*SQRT(1/Inputs!$D$9)*F117</f>
        <v>-9.5281294927181039E-3</v>
      </c>
      <c r="H117">
        <f t="shared" ca="1" si="5"/>
        <v>99.362820686896683</v>
      </c>
    </row>
    <row r="118" spans="5:8">
      <c r="E118">
        <f t="shared" si="3"/>
        <v>115</v>
      </c>
      <c r="F118">
        <f t="shared" ca="1" si="4"/>
        <v>-0.41332234370628768</v>
      </c>
      <c r="G118">
        <f ca="1">(Inputs!$D$8-0.5*Inputs!$D$7^2)/Inputs!$D$9+Inputs!$D$7*SQRT(1/Inputs!$D$9)*F118</f>
        <v>-5.2867371400946031E-3</v>
      </c>
      <c r="H118">
        <f t="shared" ca="1" si="5"/>
        <v>98.838901703676342</v>
      </c>
    </row>
    <row r="119" spans="5:8">
      <c r="E119">
        <f t="shared" si="3"/>
        <v>116</v>
      </c>
      <c r="F119">
        <f t="shared" ca="1" si="4"/>
        <v>-0.65181889373238988</v>
      </c>
      <c r="G119">
        <f ca="1">(Inputs!$D$8-0.5*Inputs!$D$7^2)/Inputs!$D$9+Inputs!$D$7*SQRT(1/Inputs!$D$9)*F119</f>
        <v>-8.2915112349324221E-3</v>
      </c>
      <c r="H119">
        <f t="shared" ca="1" si="5"/>
        <v>98.022766014584391</v>
      </c>
    </row>
    <row r="120" spans="5:8">
      <c r="E120">
        <f t="shared" si="3"/>
        <v>117</v>
      </c>
      <c r="F120">
        <f t="shared" ca="1" si="4"/>
        <v>0.54465669501315706</v>
      </c>
      <c r="G120">
        <f ca="1">(Inputs!$D$8-0.5*Inputs!$D$7^2)/Inputs!$D$9+Inputs!$D$7*SQRT(1/Inputs!$D$9)*F120</f>
        <v>6.7826642773547649E-3</v>
      </c>
      <c r="H120">
        <f t="shared" ca="1" si="5"/>
        <v>98.689881380253112</v>
      </c>
    </row>
    <row r="121" spans="5:8">
      <c r="E121">
        <f t="shared" si="3"/>
        <v>118</v>
      </c>
      <c r="F121">
        <f t="shared" ca="1" si="4"/>
        <v>-1.7800377377059644</v>
      </c>
      <c r="G121">
        <f ca="1">(Inputs!$D$8-0.5*Inputs!$D$7^2)/Inputs!$D$9+Inputs!$D$7*SQRT(1/Inputs!$D$9)*F121</f>
        <v>-2.2505732594984142E-2</v>
      </c>
      <c r="H121">
        <f t="shared" ca="1" si="5"/>
        <v>96.49360045769059</v>
      </c>
    </row>
    <row r="122" spans="5:8">
      <c r="E122">
        <f t="shared" si="3"/>
        <v>119</v>
      </c>
      <c r="F122">
        <f t="shared" ca="1" si="4"/>
        <v>-1.4864826359473355</v>
      </c>
      <c r="G122">
        <f ca="1">(Inputs!$D$8-0.5*Inputs!$D$7^2)/Inputs!$D$9+Inputs!$D$7*SQRT(1/Inputs!$D$9)*F122</f>
        <v>-1.8807285950471802E-2</v>
      </c>
      <c r="H122">
        <f t="shared" ca="1" si="5"/>
        <v>94.695776805884165</v>
      </c>
    </row>
    <row r="123" spans="5:8">
      <c r="E123">
        <f t="shared" si="3"/>
        <v>120</v>
      </c>
      <c r="F123">
        <f t="shared" ca="1" si="4"/>
        <v>-0.5118605733362761</v>
      </c>
      <c r="G123">
        <f ca="1">(Inputs!$D$8-0.5*Inputs!$D$7^2)/Inputs!$D$9+Inputs!$D$7*SQRT(1/Inputs!$D$9)*F123</f>
        <v>-6.52820214120663E-3</v>
      </c>
      <c r="H123">
        <f t="shared" ca="1" si="5"/>
        <v>94.079597094164555</v>
      </c>
    </row>
    <row r="124" spans="5:8">
      <c r="E124">
        <f t="shared" si="3"/>
        <v>121</v>
      </c>
      <c r="F124">
        <f t="shared" ca="1" si="4"/>
        <v>-1.7666857039133064</v>
      </c>
      <c r="G124">
        <f ca="1">(Inputs!$D$8-0.5*Inputs!$D$7^2)/Inputs!$D$9+Inputs!$D$7*SQRT(1/Inputs!$D$9)*F124</f>
        <v>-2.233751278111603E-2</v>
      </c>
      <c r="H124">
        <f t="shared" ca="1" si="5"/>
        <v>92.001390289062527</v>
      </c>
    </row>
    <row r="125" spans="5:8">
      <c r="E125">
        <f t="shared" si="3"/>
        <v>122</v>
      </c>
      <c r="F125">
        <f t="shared" ca="1" si="4"/>
        <v>-0.22347681896674113</v>
      </c>
      <c r="G125">
        <f ca="1">(Inputs!$D$8-0.5*Inputs!$D$7^2)/Inputs!$D$9+Inputs!$D$7*SQRT(1/Inputs!$D$9)*F125</f>
        <v>-2.8949083497165056E-3</v>
      </c>
      <c r="H125">
        <f t="shared" ca="1" si="5"/>
        <v>91.735439832960182</v>
      </c>
    </row>
    <row r="126" spans="5:8">
      <c r="E126">
        <f t="shared" si="3"/>
        <v>123</v>
      </c>
      <c r="F126">
        <f t="shared" ca="1" si="4"/>
        <v>1.1602232635294492</v>
      </c>
      <c r="G126">
        <f ca="1">(Inputs!$D$8-0.5*Inputs!$D$7^2)/Inputs!$D$9+Inputs!$D$7*SQRT(1/Inputs!$D$9)*F126</f>
        <v>1.4538074066400055E-2</v>
      </c>
      <c r="H126">
        <f t="shared" ca="1" si="5"/>
        <v>93.078838001660614</v>
      </c>
    </row>
    <row r="127" spans="5:8">
      <c r="E127">
        <f t="shared" si="3"/>
        <v>124</v>
      </c>
      <c r="F127">
        <f t="shared" ca="1" si="4"/>
        <v>0.96296542228703708</v>
      </c>
      <c r="G127">
        <f ca="1">(Inputs!$D$8-0.5*Inputs!$D$7^2)/Inputs!$D$9+Inputs!$D$7*SQRT(1/Inputs!$D$9)*F127</f>
        <v>1.2052858865995851E-2</v>
      </c>
      <c r="H127">
        <f t="shared" ca="1" si="5"/>
        <v>94.207492190932683</v>
      </c>
    </row>
    <row r="128" spans="5:8">
      <c r="E128">
        <f t="shared" si="3"/>
        <v>125</v>
      </c>
      <c r="F128">
        <f t="shared" ca="1" si="4"/>
        <v>-1.0092074534838387</v>
      </c>
      <c r="G128">
        <f ca="1">(Inputs!$D$8-0.5*Inputs!$D$7^2)/Inputs!$D$9+Inputs!$D$7*SQRT(1/Inputs!$D$9)*F128</f>
        <v>-1.2794183856465191E-2</v>
      </c>
      <c r="H128">
        <f t="shared" ca="1" si="5"/>
        <v>93.009861902977875</v>
      </c>
    </row>
    <row r="129" spans="5:8">
      <c r="E129">
        <f t="shared" si="3"/>
        <v>126</v>
      </c>
      <c r="F129">
        <f t="shared" ca="1" si="4"/>
        <v>-1.6599373504140005</v>
      </c>
      <c r="G129">
        <f ca="1">(Inputs!$D$8-0.5*Inputs!$D$7^2)/Inputs!$D$9+Inputs!$D$7*SQRT(1/Inputs!$D$9)*F129</f>
        <v>-2.0992609941950437E-2</v>
      </c>
      <c r="H129">
        <f t="shared" ca="1" si="5"/>
        <v>91.077693734339135</v>
      </c>
    </row>
    <row r="130" spans="5:8">
      <c r="E130">
        <f t="shared" si="3"/>
        <v>127</v>
      </c>
      <c r="F130">
        <f t="shared" ca="1" si="4"/>
        <v>0.10145092627054532</v>
      </c>
      <c r="G130">
        <f ca="1">(Inputs!$D$8-0.5*Inputs!$D$7^2)/Inputs!$D$9+Inputs!$D$7*SQRT(1/Inputs!$D$9)*F130</f>
        <v>1.1987964501064083E-3</v>
      </c>
      <c r="H130">
        <f t="shared" ca="1" si="5"/>
        <v>91.186942820896704</v>
      </c>
    </row>
    <row r="131" spans="5:8">
      <c r="E131">
        <f t="shared" si="3"/>
        <v>128</v>
      </c>
      <c r="F131">
        <f t="shared" ca="1" si="4"/>
        <v>-0.21603260823368686</v>
      </c>
      <c r="G131">
        <f ca="1">(Inputs!$D$8-0.5*Inputs!$D$7^2)/Inputs!$D$9+Inputs!$D$7*SQRT(1/Inputs!$D$9)*F131</f>
        <v>-2.8011201101602228E-3</v>
      </c>
      <c r="H131">
        <f t="shared" ca="1" si="5"/>
        <v>90.931874646651096</v>
      </c>
    </row>
    <row r="132" spans="5:8">
      <c r="E132">
        <f t="shared" si="3"/>
        <v>129</v>
      </c>
      <c r="F132">
        <f t="shared" ca="1" si="4"/>
        <v>-6.7356593672606269E-2</v>
      </c>
      <c r="G132">
        <f ca="1">(Inputs!$D$8-0.5*Inputs!$D$7^2)/Inputs!$D$9+Inputs!$D$7*SQRT(1/Inputs!$D$9)*F132</f>
        <v>-9.2797839373718867E-4</v>
      </c>
      <c r="H132">
        <f t="shared" ca="1" si="5"/>
        <v>90.84753097228338</v>
      </c>
    </row>
    <row r="133" spans="5:8">
      <c r="E133">
        <f t="shared" ref="E133:E196" si="6">+E132+1</f>
        <v>130</v>
      </c>
      <c r="F133">
        <f t="shared" ref="F133:F196" ca="1" si="7">_xlfn.NORM.S.INV(RAND())</f>
        <v>0.28385263502863356</v>
      </c>
      <c r="G133">
        <f ca="1">(Inputs!$D$8-0.5*Inputs!$D$7^2)/Inputs!$D$9+Inputs!$D$7*SQRT(1/Inputs!$D$9)*F133</f>
        <v>3.4968419743308544E-3</v>
      </c>
      <c r="H133">
        <f t="shared" ref="H133:H196" ca="1" si="8">H132*EXP(G133)</f>
        <v>91.165766517277902</v>
      </c>
    </row>
    <row r="134" spans="5:8">
      <c r="E134">
        <f t="shared" si="6"/>
        <v>131</v>
      </c>
      <c r="F134">
        <f t="shared" ca="1" si="7"/>
        <v>0.13759410960372154</v>
      </c>
      <c r="G134">
        <f ca="1">(Inputs!$D$8-0.5*Inputs!$D$7^2)/Inputs!$D$9+Inputs!$D$7*SQRT(1/Inputs!$D$9)*F134</f>
        <v>1.6541577581530695E-3</v>
      </c>
      <c r="H134">
        <f t="shared" ca="1" si="8"/>
        <v>91.316693871653072</v>
      </c>
    </row>
    <row r="135" spans="5:8">
      <c r="E135">
        <f t="shared" si="6"/>
        <v>132</v>
      </c>
      <c r="F135">
        <f t="shared" ca="1" si="7"/>
        <v>0.25787751774127021</v>
      </c>
      <c r="G135">
        <f ca="1">(Inputs!$D$8-0.5*Inputs!$D$7^2)/Inputs!$D$9+Inputs!$D$7*SQRT(1/Inputs!$D$9)*F135</f>
        <v>3.1695862571018158E-3</v>
      </c>
      <c r="H135">
        <f t="shared" ca="1" si="8"/>
        <v>91.606589191005398</v>
      </c>
    </row>
    <row r="136" spans="5:8">
      <c r="E136">
        <f t="shared" si="6"/>
        <v>133</v>
      </c>
      <c r="F136">
        <f t="shared" ca="1" si="7"/>
        <v>-0.44024937782879758</v>
      </c>
      <c r="G136">
        <f ca="1">(Inputs!$D$8-0.5*Inputs!$D$7^2)/Inputs!$D$9+Inputs!$D$7*SQRT(1/Inputs!$D$9)*F136</f>
        <v>-5.6259858821551345E-3</v>
      </c>
      <c r="H136">
        <f t="shared" ca="1" si="8"/>
        <v>91.092658851485794</v>
      </c>
    </row>
    <row r="137" spans="5:8">
      <c r="E137">
        <f t="shared" si="6"/>
        <v>134</v>
      </c>
      <c r="F137">
        <f t="shared" ca="1" si="7"/>
        <v>1.2901382775053765</v>
      </c>
      <c r="G137">
        <f ca="1">(Inputs!$D$8-0.5*Inputs!$D$7^2)/Inputs!$D$9+Inputs!$D$7*SQRT(1/Inputs!$D$9)*F137</f>
        <v>1.6174849392846649E-2</v>
      </c>
      <c r="H137">
        <f t="shared" ca="1" si="8"/>
        <v>92.578049489570361</v>
      </c>
    </row>
    <row r="138" spans="5:8">
      <c r="E138">
        <f t="shared" si="6"/>
        <v>135</v>
      </c>
      <c r="F138">
        <f t="shared" ca="1" si="7"/>
        <v>0.22115887780951901</v>
      </c>
      <c r="G138">
        <f ca="1">(Inputs!$D$8-0.5*Inputs!$D$7^2)/Inputs!$D$9+Inputs!$D$7*SQRT(1/Inputs!$D$9)*F138</f>
        <v>2.7069748773878187E-3</v>
      </c>
      <c r="H138">
        <f t="shared" ca="1" si="8"/>
        <v>92.828995442693227</v>
      </c>
    </row>
    <row r="139" spans="5:8">
      <c r="E139">
        <f t="shared" si="6"/>
        <v>136</v>
      </c>
      <c r="F139">
        <f t="shared" ca="1" si="7"/>
        <v>-2.4597109515919198</v>
      </c>
      <c r="G139">
        <f ca="1">(Inputs!$D$8-0.5*Inputs!$D$7^2)/Inputs!$D$9+Inputs!$D$7*SQRT(1/Inputs!$D$9)*F139</f>
        <v>-3.1068810198480575E-2</v>
      </c>
      <c r="H139">
        <f t="shared" ca="1" si="8"/>
        <v>89.989251163595739</v>
      </c>
    </row>
    <row r="140" spans="5:8">
      <c r="E140">
        <f t="shared" si="6"/>
        <v>137</v>
      </c>
      <c r="F140">
        <f t="shared" ca="1" si="7"/>
        <v>-0.65581920688542639</v>
      </c>
      <c r="G140">
        <f ca="1">(Inputs!$D$8-0.5*Inputs!$D$7^2)/Inputs!$D$9+Inputs!$D$7*SQRT(1/Inputs!$D$9)*F140</f>
        <v>-8.3419104433577317E-3</v>
      </c>
      <c r="H140">
        <f t="shared" ca="1" si="8"/>
        <v>89.24169126345501</v>
      </c>
    </row>
    <row r="141" spans="5:8">
      <c r="E141">
        <f t="shared" si="6"/>
        <v>138</v>
      </c>
      <c r="F141">
        <f t="shared" ca="1" si="7"/>
        <v>0.640895159036866</v>
      </c>
      <c r="G141">
        <f ca="1">(Inputs!$D$8-0.5*Inputs!$D$7^2)/Inputs!$D$9+Inputs!$D$7*SQRT(1/Inputs!$D$9)*F141</f>
        <v>7.9951549552860525E-3</v>
      </c>
      <c r="H141">
        <f t="shared" ca="1" si="8"/>
        <v>89.958052306387387</v>
      </c>
    </row>
    <row r="142" spans="5:8">
      <c r="E142">
        <f t="shared" si="6"/>
        <v>139</v>
      </c>
      <c r="F142">
        <f t="shared" ca="1" si="7"/>
        <v>2.0816719099506078</v>
      </c>
      <c r="G142">
        <f ca="1">(Inputs!$D$8-0.5*Inputs!$D$7^2)/Inputs!$D$9+Inputs!$D$7*SQRT(1/Inputs!$D$9)*F142</f>
        <v>2.6147235801388023E-2</v>
      </c>
      <c r="H142">
        <f t="shared" ca="1" si="8"/>
        <v>92.341227660761874</v>
      </c>
    </row>
    <row r="143" spans="5:8">
      <c r="E143">
        <f t="shared" si="6"/>
        <v>140</v>
      </c>
      <c r="F143">
        <f t="shared" ca="1" si="7"/>
        <v>-1.036232507074075</v>
      </c>
      <c r="G143">
        <f ca="1">(Inputs!$D$8-0.5*Inputs!$D$7^2)/Inputs!$D$9+Inputs!$D$7*SQRT(1/Inputs!$D$9)*F143</f>
        <v>-1.3134667527741183E-2</v>
      </c>
      <c r="H143">
        <f t="shared" ca="1" si="8"/>
        <v>91.136286907358254</v>
      </c>
    </row>
    <row r="144" spans="5:8">
      <c r="E144">
        <f t="shared" si="6"/>
        <v>141</v>
      </c>
      <c r="F144">
        <f t="shared" ca="1" si="7"/>
        <v>0.57771356564986087</v>
      </c>
      <c r="G144">
        <f ca="1">(Inputs!$D$8-0.5*Inputs!$D$7^2)/Inputs!$D$9+Inputs!$D$7*SQRT(1/Inputs!$D$9)*F144</f>
        <v>7.199141700339297E-3</v>
      </c>
      <c r="H144">
        <f t="shared" ca="1" si="8"/>
        <v>91.794757317830772</v>
      </c>
    </row>
    <row r="145" spans="5:8">
      <c r="E145">
        <f t="shared" si="6"/>
        <v>142</v>
      </c>
      <c r="F145">
        <f t="shared" ca="1" si="7"/>
        <v>-0.90641102424000153</v>
      </c>
      <c r="G145">
        <f ca="1">(Inputs!$D$8-0.5*Inputs!$D$7^2)/Inputs!$D$9+Inputs!$D$7*SQRT(1/Inputs!$D$9)*F145</f>
        <v>-1.1499070582919284E-2</v>
      </c>
      <c r="H145">
        <f t="shared" ca="1" si="8"/>
        <v>90.745248675831803</v>
      </c>
    </row>
    <row r="146" spans="5:8">
      <c r="E146">
        <f t="shared" si="6"/>
        <v>143</v>
      </c>
      <c r="F146">
        <f t="shared" ca="1" si="7"/>
        <v>-1.1877803612120694</v>
      </c>
      <c r="G146">
        <f ca="1">(Inputs!$D$8-0.5*Inputs!$D$7^2)/Inputs!$D$9+Inputs!$D$7*SQRT(1/Inputs!$D$9)*F146</f>
        <v>-1.5043991021906062E-2</v>
      </c>
      <c r="H146">
        <f t="shared" ca="1" si="8"/>
        <v>89.390295475868683</v>
      </c>
    </row>
    <row r="147" spans="5:8">
      <c r="E147">
        <f t="shared" si="6"/>
        <v>144</v>
      </c>
      <c r="F147">
        <f t="shared" ca="1" si="7"/>
        <v>-1.1660766182393658</v>
      </c>
      <c r="G147">
        <f ca="1">(Inputs!$D$8-0.5*Inputs!$D$7^2)/Inputs!$D$9+Inputs!$D$7*SQRT(1/Inputs!$D$9)*F147</f>
        <v>-1.4770549562739207E-2</v>
      </c>
      <c r="H147">
        <f t="shared" ca="1" si="8"/>
        <v>88.079654954857418</v>
      </c>
    </row>
    <row r="148" spans="5:8">
      <c r="E148">
        <f t="shared" si="6"/>
        <v>145</v>
      </c>
      <c r="F148">
        <f t="shared" ca="1" si="7"/>
        <v>-8.3247877991226765E-2</v>
      </c>
      <c r="G148">
        <f ca="1">(Inputs!$D$8-0.5*Inputs!$D$7^2)/Inputs!$D$9+Inputs!$D$7*SQRT(1/Inputs!$D$9)*F148</f>
        <v>-1.1281897571680953E-3</v>
      </c>
      <c r="H148">
        <f t="shared" ca="1" si="8"/>
        <v>87.980340423674917</v>
      </c>
    </row>
    <row r="149" spans="5:8">
      <c r="E149">
        <f t="shared" si="6"/>
        <v>146</v>
      </c>
      <c r="F149">
        <f t="shared" ca="1" si="7"/>
        <v>0.43509656801291396</v>
      </c>
      <c r="G149">
        <f ca="1">(Inputs!$D$8-0.5*Inputs!$D$7^2)/Inputs!$D$9+Inputs!$D$7*SQRT(1/Inputs!$D$9)*F149</f>
        <v>5.4023364218724022E-3</v>
      </c>
      <c r="H149">
        <f t="shared" ca="1" si="8"/>
        <v>88.456925999857887</v>
      </c>
    </row>
    <row r="150" spans="5:8">
      <c r="E150">
        <f t="shared" si="6"/>
        <v>147</v>
      </c>
      <c r="F150">
        <f t="shared" ca="1" si="7"/>
        <v>0.32477404228697915</v>
      </c>
      <c r="G150">
        <f ca="1">(Inputs!$D$8-0.5*Inputs!$D$7^2)/Inputs!$D$9+Inputs!$D$7*SQRT(1/Inputs!$D$9)*F150</f>
        <v>4.0124032453040725E-3</v>
      </c>
      <c r="H150">
        <f t="shared" ca="1" si="8"/>
        <v>88.812563860934347</v>
      </c>
    </row>
    <row r="151" spans="5:8">
      <c r="E151">
        <f t="shared" si="6"/>
        <v>148</v>
      </c>
      <c r="F151">
        <f t="shared" ca="1" si="7"/>
        <v>0.26832396546481113</v>
      </c>
      <c r="G151">
        <f ca="1">(Inputs!$D$8-0.5*Inputs!$D$7^2)/Inputs!$D$9+Inputs!$D$7*SQRT(1/Inputs!$D$9)*F151</f>
        <v>3.301199127390035E-3</v>
      </c>
      <c r="H151">
        <f t="shared" ca="1" si="8"/>
        <v>89.106236288132138</v>
      </c>
    </row>
    <row r="152" spans="5:8">
      <c r="E152">
        <f t="shared" si="6"/>
        <v>149</v>
      </c>
      <c r="F152">
        <f t="shared" ca="1" si="7"/>
        <v>-0.65671626595822885</v>
      </c>
      <c r="G152">
        <f ca="1">(Inputs!$D$8-0.5*Inputs!$D$7^2)/Inputs!$D$9+Inputs!$D$7*SQRT(1/Inputs!$D$9)*F152</f>
        <v>-8.3532123253480632E-3</v>
      </c>
      <c r="H152">
        <f t="shared" ca="1" si="8"/>
        <v>88.36501308427637</v>
      </c>
    </row>
    <row r="153" spans="5:8">
      <c r="E153">
        <f t="shared" si="6"/>
        <v>150</v>
      </c>
      <c r="F153">
        <f t="shared" ca="1" si="7"/>
        <v>0.42488024176632272</v>
      </c>
      <c r="G153">
        <f ca="1">(Inputs!$D$8-0.5*Inputs!$D$7^2)/Inputs!$D$9+Inputs!$D$7*SQRT(1/Inputs!$D$9)*F153</f>
        <v>5.2736228096762951E-3</v>
      </c>
      <c r="H153">
        <f t="shared" ca="1" si="8"/>
        <v>88.832247759717305</v>
      </c>
    </row>
    <row r="154" spans="5:8">
      <c r="E154">
        <f t="shared" si="6"/>
        <v>151</v>
      </c>
      <c r="F154">
        <f t="shared" ca="1" si="7"/>
        <v>0.60724422323699612</v>
      </c>
      <c r="G154">
        <f ca="1">(Inputs!$D$8-0.5*Inputs!$D$7^2)/Inputs!$D$9+Inputs!$D$7*SQRT(1/Inputs!$D$9)*F154</f>
        <v>7.571193014757214E-3</v>
      </c>
      <c r="H154">
        <f t="shared" ca="1" si="8"/>
        <v>89.5073663550573</v>
      </c>
    </row>
    <row r="155" spans="5:8">
      <c r="E155">
        <f t="shared" si="6"/>
        <v>152</v>
      </c>
      <c r="F155">
        <f t="shared" ca="1" si="7"/>
        <v>-1.3439827080082072</v>
      </c>
      <c r="G155">
        <f ca="1">(Inputs!$D$8-0.5*Inputs!$D$7^2)/Inputs!$D$9+Inputs!$D$7*SQRT(1/Inputs!$D$9)*F155</f>
        <v>-1.7011955611559618E-2</v>
      </c>
      <c r="H155">
        <f t="shared" ca="1" si="8"/>
        <v>87.99754988946404</v>
      </c>
    </row>
    <row r="156" spans="5:8">
      <c r="E156">
        <f t="shared" si="6"/>
        <v>153</v>
      </c>
      <c r="F156">
        <f t="shared" ca="1" si="7"/>
        <v>0.68772480336065889</v>
      </c>
      <c r="G156">
        <f ca="1">(Inputs!$D$8-0.5*Inputs!$D$7^2)/Inputs!$D$9+Inputs!$D$7*SQRT(1/Inputs!$D$9)*F156</f>
        <v>8.5851530165544487E-3</v>
      </c>
      <c r="H156">
        <f t="shared" ca="1" si="8"/>
        <v>88.756274543839609</v>
      </c>
    </row>
    <row r="157" spans="5:8">
      <c r="E157">
        <f t="shared" si="6"/>
        <v>154</v>
      </c>
      <c r="F157">
        <f t="shared" ca="1" si="7"/>
        <v>2.1885346322563946</v>
      </c>
      <c r="G157">
        <f ca="1">(Inputs!$D$8-0.5*Inputs!$D$7^2)/Inputs!$D$9+Inputs!$D$7*SQRT(1/Inputs!$D$9)*F157</f>
        <v>2.7493579552075958E-2</v>
      </c>
      <c r="H157">
        <f t="shared" ca="1" si="8"/>
        <v>91.230357087387461</v>
      </c>
    </row>
    <row r="158" spans="5:8">
      <c r="E158">
        <f t="shared" si="6"/>
        <v>155</v>
      </c>
      <c r="F158">
        <f t="shared" ca="1" si="7"/>
        <v>0.74881817187915134</v>
      </c>
      <c r="G158">
        <f ca="1">(Inputs!$D$8-0.5*Inputs!$D$7^2)/Inputs!$D$9+Inputs!$D$7*SQRT(1/Inputs!$D$9)*F158</f>
        <v>9.3548571111028E-3</v>
      </c>
      <c r="H158">
        <f t="shared" ca="1" si="8"/>
        <v>92.087808456459072</v>
      </c>
    </row>
    <row r="159" spans="5:8">
      <c r="E159">
        <f t="shared" si="6"/>
        <v>156</v>
      </c>
      <c r="F159">
        <f t="shared" ca="1" si="7"/>
        <v>-0.11589737906493666</v>
      </c>
      <c r="G159">
        <f ca="1">(Inputs!$D$8-0.5*Inputs!$D$7^2)/Inputs!$D$9+Inputs!$D$7*SQRT(1/Inputs!$D$9)*F159</f>
        <v>-1.5395348060793939E-3</v>
      </c>
      <c r="H159">
        <f t="shared" ca="1" si="8"/>
        <v>91.946145145903927</v>
      </c>
    </row>
    <row r="160" spans="5:8">
      <c r="E160">
        <f t="shared" si="6"/>
        <v>157</v>
      </c>
      <c r="F160">
        <f t="shared" ca="1" si="7"/>
        <v>-0.64217605994712179</v>
      </c>
      <c r="G160">
        <f ca="1">(Inputs!$D$8-0.5*Inputs!$D$7^2)/Inputs!$D$9+Inputs!$D$7*SQRT(1/Inputs!$D$9)*F160</f>
        <v>-8.1700229486002737E-3</v>
      </c>
      <c r="H160">
        <f t="shared" ca="1" si="8"/>
        <v>91.198003359298099</v>
      </c>
    </row>
    <row r="161" spans="5:8">
      <c r="E161">
        <f t="shared" si="6"/>
        <v>158</v>
      </c>
      <c r="F161">
        <f t="shared" ca="1" si="7"/>
        <v>-0.74747383488389685</v>
      </c>
      <c r="G161">
        <f ca="1">(Inputs!$D$8-0.5*Inputs!$D$7^2)/Inputs!$D$9+Inputs!$D$7*SQRT(1/Inputs!$D$9)*F161</f>
        <v>-9.4966502157010219E-3</v>
      </c>
      <c r="H161">
        <f t="shared" ca="1" si="8"/>
        <v>90.336027242062372</v>
      </c>
    </row>
    <row r="162" spans="5:8">
      <c r="E162">
        <f t="shared" si="6"/>
        <v>159</v>
      </c>
      <c r="F162">
        <f t="shared" ca="1" si="7"/>
        <v>-0.59470553814226412</v>
      </c>
      <c r="G162">
        <f ca="1">(Inputs!$D$8-0.5*Inputs!$D$7^2)/Inputs!$D$9+Inputs!$D$7*SQRT(1/Inputs!$D$9)*F162</f>
        <v>-7.5719505900187379E-3</v>
      </c>
      <c r="H162">
        <f t="shared" ca="1" si="8"/>
        <v>89.654590465899517</v>
      </c>
    </row>
    <row r="163" spans="5:8">
      <c r="E163">
        <f t="shared" si="6"/>
        <v>160</v>
      </c>
      <c r="F163">
        <f t="shared" ca="1" si="7"/>
        <v>-0.9144405676269487</v>
      </c>
      <c r="G163">
        <f ca="1">(Inputs!$D$8-0.5*Inputs!$D$7^2)/Inputs!$D$9+Inputs!$D$7*SQRT(1/Inputs!$D$9)*F163</f>
        <v>-1.1600233320744358E-2</v>
      </c>
      <c r="H163">
        <f t="shared" ca="1" si="8"/>
        <v>88.620585244218134</v>
      </c>
    </row>
    <row r="164" spans="5:8">
      <c r="E164">
        <f t="shared" si="6"/>
        <v>161</v>
      </c>
      <c r="F164">
        <f t="shared" ca="1" si="7"/>
        <v>0.18431642475183577</v>
      </c>
      <c r="G164">
        <f ca="1">(Inputs!$D$8-0.5*Inputs!$D$7^2)/Inputs!$D$9+Inputs!$D$7*SQRT(1/Inputs!$D$9)*F164</f>
        <v>2.2428035989106709E-3</v>
      </c>
      <c r="H164">
        <f t="shared" ca="1" si="8"/>
        <v>88.819566866681669</v>
      </c>
    </row>
    <row r="165" spans="5:8">
      <c r="E165">
        <f t="shared" si="6"/>
        <v>162</v>
      </c>
      <c r="F165">
        <f t="shared" ca="1" si="7"/>
        <v>0.31177433752688077</v>
      </c>
      <c r="G165">
        <f ca="1">(Inputs!$D$8-0.5*Inputs!$D$7^2)/Inputs!$D$9+Inputs!$D$7*SQRT(1/Inputs!$D$9)*F165</f>
        <v>3.8486223600065353E-3</v>
      </c>
      <c r="H165">
        <f t="shared" ca="1" si="8"/>
        <v>89.162058475416956</v>
      </c>
    </row>
    <row r="166" spans="5:8">
      <c r="E166">
        <f t="shared" si="6"/>
        <v>163</v>
      </c>
      <c r="F166">
        <f t="shared" ca="1" si="7"/>
        <v>-1.1631925245656727</v>
      </c>
      <c r="G166">
        <f ca="1">(Inputs!$D$8-0.5*Inputs!$D$7^2)/Inputs!$D$9+Inputs!$D$7*SQRT(1/Inputs!$D$9)*F166</f>
        <v>-1.4734213397889651E-2</v>
      </c>
      <c r="H166">
        <f t="shared" ca="1" si="8"/>
        <v>87.857956728528208</v>
      </c>
    </row>
    <row r="167" spans="5:8">
      <c r="E167">
        <f t="shared" si="6"/>
        <v>164</v>
      </c>
      <c r="F167">
        <f t="shared" ca="1" si="7"/>
        <v>-0.60365659413806727</v>
      </c>
      <c r="G167">
        <f ca="1">(Inputs!$D$8-0.5*Inputs!$D$7^2)/Inputs!$D$9+Inputs!$D$7*SQRT(1/Inputs!$D$9)*F167</f>
        <v>-7.684723295429732E-3</v>
      </c>
      <c r="H167">
        <f t="shared" ca="1" si="8"/>
        <v>87.185380233808345</v>
      </c>
    </row>
    <row r="168" spans="5:8">
      <c r="E168">
        <f t="shared" si="6"/>
        <v>165</v>
      </c>
      <c r="F168">
        <f t="shared" ca="1" si="7"/>
        <v>1.308114067412175</v>
      </c>
      <c r="G168">
        <f ca="1">(Inputs!$D$8-0.5*Inputs!$D$7^2)/Inputs!$D$9+Inputs!$D$7*SQRT(1/Inputs!$D$9)*F168</f>
        <v>1.6401323058148239E-2</v>
      </c>
      <c r="H168">
        <f t="shared" ca="1" si="8"/>
        <v>88.627126776966648</v>
      </c>
    </row>
    <row r="169" spans="5:8">
      <c r="E169">
        <f t="shared" si="6"/>
        <v>166</v>
      </c>
      <c r="F169">
        <f t="shared" ca="1" si="7"/>
        <v>-1.3604031648008049E-2</v>
      </c>
      <c r="G169">
        <f ca="1">(Inputs!$D$8-0.5*Inputs!$D$7^2)/Inputs!$D$9+Inputs!$D$7*SQRT(1/Inputs!$D$9)*F169</f>
        <v>-2.5075976778641976E-4</v>
      </c>
      <c r="H169">
        <f t="shared" ca="1" si="8"/>
        <v>88.604905445460886</v>
      </c>
    </row>
    <row r="170" spans="5:8">
      <c r="E170">
        <f t="shared" si="6"/>
        <v>167</v>
      </c>
      <c r="F170">
        <f t="shared" ca="1" si="7"/>
        <v>-8.471857148750683E-3</v>
      </c>
      <c r="G170">
        <f ca="1">(Inputs!$D$8-0.5*Inputs!$D$7^2)/Inputs!$D$9+Inputs!$D$7*SQRT(1/Inputs!$D$9)*F170</f>
        <v>-1.8610044678631294E-4</v>
      </c>
      <c r="H170">
        <f t="shared" ca="1" si="8"/>
        <v>88.588417567218372</v>
      </c>
    </row>
    <row r="171" spans="5:8">
      <c r="E171">
        <f t="shared" si="6"/>
        <v>168</v>
      </c>
      <c r="F171">
        <f t="shared" ca="1" si="7"/>
        <v>-2.3039811398136214</v>
      </c>
      <c r="G171">
        <f ca="1">(Inputs!$D$8-0.5*Inputs!$D$7^2)/Inputs!$D$9+Inputs!$D$7*SQRT(1/Inputs!$D$9)*F171</f>
        <v>-2.9106798990460217E-2</v>
      </c>
      <c r="H171">
        <f t="shared" ca="1" si="8"/>
        <v>86.047057156257281</v>
      </c>
    </row>
    <row r="172" spans="5:8">
      <c r="E172">
        <f t="shared" si="6"/>
        <v>169</v>
      </c>
      <c r="F172">
        <f t="shared" ca="1" si="7"/>
        <v>2.5073456446860494E-2</v>
      </c>
      <c r="G172">
        <f ca="1">(Inputs!$D$8-0.5*Inputs!$D$7^2)/Inputs!$D$9+Inputs!$D$7*SQRT(1/Inputs!$D$9)*F172</f>
        <v>2.365307790501686E-4</v>
      </c>
      <c r="H172">
        <f t="shared" ca="1" si="8"/>
        <v>86.067412340940365</v>
      </c>
    </row>
    <row r="173" spans="5:8">
      <c r="E173">
        <f t="shared" si="6"/>
        <v>170</v>
      </c>
      <c r="F173">
        <f t="shared" ca="1" si="7"/>
        <v>-1.6244783290282598</v>
      </c>
      <c r="G173">
        <f ca="1">(Inputs!$D$8-0.5*Inputs!$D$7^2)/Inputs!$D$9+Inputs!$D$7*SQRT(1/Inputs!$D$9)*F173</f>
        <v>-2.0545868264234289E-2</v>
      </c>
      <c r="H173">
        <f t="shared" ca="1" si="8"/>
        <v>84.317124784619764</v>
      </c>
    </row>
    <row r="174" spans="5:8">
      <c r="E174">
        <f t="shared" si="6"/>
        <v>171</v>
      </c>
      <c r="F174">
        <f t="shared" ca="1" si="7"/>
        <v>0.68111107598475717</v>
      </c>
      <c r="G174">
        <f ca="1">(Inputs!$D$8-0.5*Inputs!$D$7^2)/Inputs!$D$9+Inputs!$D$7*SQRT(1/Inputs!$D$9)*F174</f>
        <v>8.5018278838124694E-3</v>
      </c>
      <c r="H174">
        <f t="shared" ca="1" si="8"/>
        <v>85.037030387670569</v>
      </c>
    </row>
    <row r="175" spans="5:8">
      <c r="E175">
        <f t="shared" si="6"/>
        <v>172</v>
      </c>
      <c r="F175">
        <f t="shared" ca="1" si="7"/>
        <v>-0.80025661285980876</v>
      </c>
      <c r="G175">
        <f ca="1">(Inputs!$D$8-0.5*Inputs!$D$7^2)/Inputs!$D$9+Inputs!$D$7*SQRT(1/Inputs!$D$9)*F175</f>
        <v>-1.0161650711088641E-2</v>
      </c>
      <c r="H175">
        <f t="shared" ca="1" si="8"/>
        <v>84.177289379274882</v>
      </c>
    </row>
    <row r="176" spans="5:8">
      <c r="E176">
        <f t="shared" si="6"/>
        <v>173</v>
      </c>
      <c r="F176">
        <f t="shared" ca="1" si="7"/>
        <v>1.8303124748146564</v>
      </c>
      <c r="G176">
        <f ca="1">(Inputs!$D$8-0.5*Inputs!$D$7^2)/Inputs!$D$9+Inputs!$D$7*SQRT(1/Inputs!$D$9)*F176</f>
        <v>2.298040458681946E-2</v>
      </c>
      <c r="H176">
        <f t="shared" ca="1" si="8"/>
        <v>86.134115761471051</v>
      </c>
    </row>
    <row r="177" spans="5:8">
      <c r="E177">
        <f t="shared" si="6"/>
        <v>174</v>
      </c>
      <c r="F177">
        <f t="shared" ca="1" si="7"/>
        <v>0.82755702185193569</v>
      </c>
      <c r="G177">
        <f ca="1">(Inputs!$D$8-0.5*Inputs!$D$7^2)/Inputs!$D$9+Inputs!$D$7*SQRT(1/Inputs!$D$9)*F177</f>
        <v>1.0346873375613335E-2</v>
      </c>
      <c r="H177">
        <f t="shared" ca="1" si="8"/>
        <v>87.029961157760525</v>
      </c>
    </row>
    <row r="178" spans="5:8">
      <c r="E178">
        <f t="shared" si="6"/>
        <v>175</v>
      </c>
      <c r="F178">
        <f t="shared" ca="1" si="7"/>
        <v>0.62710199063059791</v>
      </c>
      <c r="G178">
        <f ca="1">(Inputs!$D$8-0.5*Inputs!$D$7^2)/Inputs!$D$9+Inputs!$D$7*SQRT(1/Inputs!$D$9)*F178</f>
        <v>7.8213773676926307E-3</v>
      </c>
      <c r="H178">
        <f t="shared" ca="1" si="8"/>
        <v>87.713324262969024</v>
      </c>
    </row>
    <row r="179" spans="5:8">
      <c r="E179">
        <f t="shared" si="6"/>
        <v>176</v>
      </c>
      <c r="F179">
        <f t="shared" ca="1" si="7"/>
        <v>-1.3542913454887255</v>
      </c>
      <c r="G179">
        <f ca="1">(Inputs!$D$8-0.5*Inputs!$D$7^2)/Inputs!$D$9+Inputs!$D$7*SQRT(1/Inputs!$D$9)*F179</f>
        <v>-1.7141832235985196E-2</v>
      </c>
      <c r="H179">
        <f t="shared" ca="1" si="8"/>
        <v>86.222570800178858</v>
      </c>
    </row>
    <row r="180" spans="5:8">
      <c r="E180">
        <f t="shared" si="6"/>
        <v>177</v>
      </c>
      <c r="F180">
        <f t="shared" ca="1" si="7"/>
        <v>0.36917402900594187</v>
      </c>
      <c r="G180">
        <f ca="1">(Inputs!$D$8-0.5*Inputs!$D$7^2)/Inputs!$D$9+Inputs!$D$7*SQRT(1/Inputs!$D$9)*F180</f>
        <v>4.5717904980323871E-3</v>
      </c>
      <c r="H180">
        <f t="shared" ca="1" si="8"/>
        <v>86.617664785379176</v>
      </c>
    </row>
    <row r="181" spans="5:8">
      <c r="E181">
        <f t="shared" si="6"/>
        <v>178</v>
      </c>
      <c r="F181">
        <f t="shared" ca="1" si="7"/>
        <v>-1.5432330895280981</v>
      </c>
      <c r="G181">
        <f ca="1">(Inputs!$D$8-0.5*Inputs!$D$7^2)/Inputs!$D$9+Inputs!$D$7*SQRT(1/Inputs!$D$9)*F181</f>
        <v>-1.9522274459828053E-2</v>
      </c>
      <c r="H181">
        <f t="shared" ca="1" si="8"/>
        <v>84.94308989967962</v>
      </c>
    </row>
    <row r="182" spans="5:8">
      <c r="E182">
        <f t="shared" si="6"/>
        <v>179</v>
      </c>
      <c r="F182">
        <f t="shared" ca="1" si="7"/>
        <v>-0.31565205947714103</v>
      </c>
      <c r="G182">
        <f ca="1">(Inputs!$D$8-0.5*Inputs!$D$7^2)/Inputs!$D$9+Inputs!$D$7*SQRT(1/Inputs!$D$9)*F182</f>
        <v>-4.056207223183575E-3</v>
      </c>
      <c r="H182">
        <f t="shared" ca="1" si="8"/>
        <v>84.599240957590482</v>
      </c>
    </row>
    <row r="183" spans="5:8">
      <c r="E183">
        <f t="shared" si="6"/>
        <v>180</v>
      </c>
      <c r="F183">
        <f t="shared" ca="1" si="7"/>
        <v>-0.83526667018550094</v>
      </c>
      <c r="G183">
        <f ca="1">(Inputs!$D$8-0.5*Inputs!$D$7^2)/Inputs!$D$9+Inputs!$D$7*SQRT(1/Inputs!$D$9)*F183</f>
        <v>-1.0602735973326243E-2</v>
      </c>
      <c r="H183">
        <f t="shared" ca="1" si="8"/>
        <v>83.706996019608198</v>
      </c>
    </row>
    <row r="184" spans="5:8">
      <c r="E184">
        <f t="shared" si="6"/>
        <v>181</v>
      </c>
      <c r="F184">
        <f t="shared" ca="1" si="7"/>
        <v>-1.9136422305775593</v>
      </c>
      <c r="G184">
        <f ca="1">(Inputs!$D$8-0.5*Inputs!$D$7^2)/Inputs!$D$9+Inputs!$D$7*SQRT(1/Inputs!$D$9)*F184</f>
        <v>-2.4188990986313393E-2</v>
      </c>
      <c r="H184">
        <f t="shared" ca="1" si="8"/>
        <v>81.706500769265389</v>
      </c>
    </row>
    <row r="185" spans="5:8">
      <c r="E185">
        <f t="shared" si="6"/>
        <v>182</v>
      </c>
      <c r="F185">
        <f t="shared" ca="1" si="7"/>
        <v>-0.2662964120556392</v>
      </c>
      <c r="G185">
        <f ca="1">(Inputs!$D$8-0.5*Inputs!$D$7^2)/Inputs!$D$9+Inputs!$D$7*SQRT(1/Inputs!$D$9)*F185</f>
        <v>-3.4343845142603361E-3</v>
      </c>
      <c r="H185">
        <f t="shared" ca="1" si="8"/>
        <v>81.426370541112334</v>
      </c>
    </row>
    <row r="186" spans="5:8">
      <c r="E186">
        <f t="shared" si="6"/>
        <v>183</v>
      </c>
      <c r="F186">
        <f t="shared" ca="1" si="7"/>
        <v>-1.4674216924643149</v>
      </c>
      <c r="G186">
        <f ca="1">(Inputs!$D$8-0.5*Inputs!$D$7^2)/Inputs!$D$9+Inputs!$D$7*SQRT(1/Inputs!$D$9)*F186</f>
        <v>-1.8567140635184515E-2</v>
      </c>
      <c r="H186">
        <f t="shared" ca="1" si="8"/>
        <v>79.928464614791636</v>
      </c>
    </row>
    <row r="187" spans="5:8">
      <c r="E187">
        <f t="shared" si="6"/>
        <v>184</v>
      </c>
      <c r="F187">
        <f t="shared" ca="1" si="7"/>
        <v>-1.0198320648863697</v>
      </c>
      <c r="G187">
        <f ca="1">(Inputs!$D$8-0.5*Inputs!$D$7^2)/Inputs!$D$9+Inputs!$D$7*SQRT(1/Inputs!$D$9)*F187</f>
        <v>-1.2928041378121372E-2</v>
      </c>
      <c r="H187">
        <f t="shared" ca="1" si="8"/>
        <v>78.901796818080484</v>
      </c>
    </row>
    <row r="188" spans="5:8">
      <c r="E188">
        <f t="shared" si="6"/>
        <v>185</v>
      </c>
      <c r="F188">
        <f t="shared" ca="1" si="7"/>
        <v>0.11617282190134003</v>
      </c>
      <c r="G188">
        <f ca="1">(Inputs!$D$8-0.5*Inputs!$D$7^2)/Inputs!$D$9+Inputs!$D$7*SQRT(1/Inputs!$D$9)*F188</f>
        <v>1.3842749008994139E-3</v>
      </c>
      <c r="H188">
        <f t="shared" ca="1" si="8"/>
        <v>79.011094226428042</v>
      </c>
    </row>
    <row r="189" spans="5:8">
      <c r="E189">
        <f t="shared" si="6"/>
        <v>186</v>
      </c>
      <c r="F189">
        <f t="shared" ca="1" si="7"/>
        <v>4.3087862313573519E-2</v>
      </c>
      <c r="G189">
        <f ca="1">(Inputs!$D$8-0.5*Inputs!$D$7^2)/Inputs!$D$9+Inputs!$D$7*SQRT(1/Inputs!$D$9)*F189</f>
        <v>4.6349095971638589E-4</v>
      </c>
      <c r="H189">
        <f t="shared" ca="1" si="8"/>
        <v>79.047723642365128</v>
      </c>
    </row>
    <row r="190" spans="5:8">
      <c r="E190">
        <f t="shared" si="6"/>
        <v>187</v>
      </c>
      <c r="F190">
        <f t="shared" ca="1" si="7"/>
        <v>-0.2378872091264107</v>
      </c>
      <c r="G190">
        <f ca="1">(Inputs!$D$8-0.5*Inputs!$D$7^2)/Inputs!$D$9+Inputs!$D$7*SQRT(1/Inputs!$D$9)*F190</f>
        <v>-3.0764622004684013E-3</v>
      </c>
      <c r="H190">
        <f t="shared" ca="1" si="8"/>
        <v>78.804910003548642</v>
      </c>
    </row>
    <row r="191" spans="5:8">
      <c r="E191">
        <f t="shared" si="6"/>
        <v>188</v>
      </c>
      <c r="F191">
        <f t="shared" ca="1" si="7"/>
        <v>1.4518443576764133</v>
      </c>
      <c r="G191">
        <f ca="1">(Inputs!$D$8-0.5*Inputs!$D$7^2)/Inputs!$D$9+Inputs!$D$7*SQRT(1/Inputs!$D$9)*F191</f>
        <v>1.8212154505321109E-2</v>
      </c>
      <c r="H191">
        <f t="shared" ca="1" si="8"/>
        <v>80.253266009340194</v>
      </c>
    </row>
    <row r="192" spans="5:8">
      <c r="E192">
        <f t="shared" si="6"/>
        <v>189</v>
      </c>
      <c r="F192">
        <f t="shared" ca="1" si="7"/>
        <v>-1.3078965559888545</v>
      </c>
      <c r="G192">
        <f ca="1">(Inputs!$D$8-0.5*Inputs!$D$7^2)/Inputs!$D$9+Inputs!$D$7*SQRT(1/Inputs!$D$9)*F192</f>
        <v>-1.6557312830528768E-2</v>
      </c>
      <c r="H192">
        <f t="shared" ca="1" si="8"/>
        <v>78.935427616007757</v>
      </c>
    </row>
    <row r="193" spans="5:8">
      <c r="E193">
        <f t="shared" si="6"/>
        <v>190</v>
      </c>
      <c r="F193">
        <f t="shared" ca="1" si="7"/>
        <v>2.8719508610499505</v>
      </c>
      <c r="G193">
        <f ca="1">(Inputs!$D$8-0.5*Inputs!$D$7^2)/Inputs!$D$9+Inputs!$D$7*SQRT(1/Inputs!$D$9)*F193</f>
        <v>3.6103814710806287E-2</v>
      </c>
      <c r="H193">
        <f t="shared" ca="1" si="8"/>
        <v>81.837368015103579</v>
      </c>
    </row>
    <row r="194" spans="5:8">
      <c r="E194">
        <f t="shared" si="6"/>
        <v>191</v>
      </c>
      <c r="F194">
        <f t="shared" ca="1" si="7"/>
        <v>-0.84217173644650301</v>
      </c>
      <c r="G194">
        <f ca="1">(Inputs!$D$8-0.5*Inputs!$D$7^2)/Inputs!$D$9+Inputs!$D$7*SQRT(1/Inputs!$D$9)*F194</f>
        <v>-1.0689731631007358E-2</v>
      </c>
      <c r="H194">
        <f t="shared" ca="1" si="8"/>
        <v>80.96720768992239</v>
      </c>
    </row>
    <row r="195" spans="5:8">
      <c r="E195">
        <f t="shared" si="6"/>
        <v>192</v>
      </c>
      <c r="F195">
        <f t="shared" ca="1" si="7"/>
        <v>0.16325715002448368</v>
      </c>
      <c r="G195">
        <f ca="1">(Inputs!$D$8-0.5*Inputs!$D$7^2)/Inputs!$D$9+Inputs!$D$7*SQRT(1/Inputs!$D$9)*F195</f>
        <v>1.9774816764346649E-3</v>
      </c>
      <c r="H195">
        <f t="shared" ca="1" si="8"/>
        <v>81.127477272375629</v>
      </c>
    </row>
    <row r="196" spans="5:8">
      <c r="E196">
        <f t="shared" si="6"/>
        <v>193</v>
      </c>
      <c r="F196">
        <f t="shared" ca="1" si="7"/>
        <v>0.13331181713748977</v>
      </c>
      <c r="G196">
        <f ca="1">(Inputs!$D$8-0.5*Inputs!$D$7^2)/Inputs!$D$9+Inputs!$D$7*SQRT(1/Inputs!$D$9)*F196</f>
        <v>1.6002059443107136E-3</v>
      </c>
      <c r="H196">
        <f t="shared" ca="1" si="8"/>
        <v>81.257401869085413</v>
      </c>
    </row>
    <row r="197" spans="5:8">
      <c r="E197">
        <f t="shared" ref="E197:E244" si="9">+E196+1</f>
        <v>194</v>
      </c>
      <c r="F197">
        <f t="shared" ref="F197:F255" ca="1" si="10">_xlfn.NORM.S.INV(RAND())</f>
        <v>-0.10041709950055469</v>
      </c>
      <c r="G197">
        <f ca="1">(Inputs!$D$8-0.5*Inputs!$D$7^2)/Inputs!$D$9+Inputs!$D$7*SQRT(1/Inputs!$D$9)*F197</f>
        <v>-1.3445016158264893E-3</v>
      </c>
      <c r="H197">
        <f t="shared" ref="H197:H255" ca="1" si="11">H196*EXP(G197)</f>
        <v>81.148224571947281</v>
      </c>
    </row>
    <row r="198" spans="5:8">
      <c r="E198">
        <f t="shared" si="9"/>
        <v>195</v>
      </c>
      <c r="F198">
        <f t="shared" ca="1" si="10"/>
        <v>0.41480599749956043</v>
      </c>
      <c r="G198">
        <f ca="1">(Inputs!$D$8-0.5*Inputs!$D$7^2)/Inputs!$D$9+Inputs!$D$7*SQRT(1/Inputs!$D$9)*F198</f>
        <v>5.1466992621678606E-3</v>
      </c>
      <c r="H198">
        <f t="shared" ca="1" si="11"/>
        <v>81.566946673566932</v>
      </c>
    </row>
    <row r="199" spans="5:8">
      <c r="E199">
        <f t="shared" si="9"/>
        <v>196</v>
      </c>
      <c r="F199">
        <f t="shared" ca="1" si="10"/>
        <v>0.52867963520136085</v>
      </c>
      <c r="G199">
        <f ca="1">(Inputs!$D$8-0.5*Inputs!$D$7^2)/Inputs!$D$9+Inputs!$D$7*SQRT(1/Inputs!$D$9)*F199</f>
        <v>6.5813722442880163E-3</v>
      </c>
      <c r="H199">
        <f t="shared" ca="1" si="11"/>
        <v>82.105539508352464</v>
      </c>
    </row>
    <row r="200" spans="5:8">
      <c r="E200">
        <f t="shared" si="9"/>
        <v>197</v>
      </c>
      <c r="F200">
        <f t="shared" ca="1" si="10"/>
        <v>0.98443055713501737</v>
      </c>
      <c r="G200">
        <f ca="1">(Inputs!$D$8-0.5*Inputs!$D$7^2)/Inputs!$D$9+Inputs!$D$7*SQRT(1/Inputs!$D$9)*F200</f>
        <v>1.2323294145358814E-2</v>
      </c>
      <c r="H200">
        <f t="shared" ca="1" si="11"/>
        <v>83.123610331829255</v>
      </c>
    </row>
    <row r="201" spans="5:8">
      <c r="E201">
        <f t="shared" si="9"/>
        <v>198</v>
      </c>
      <c r="F201">
        <f t="shared" ca="1" si="10"/>
        <v>-1.0651749933890085</v>
      </c>
      <c r="G201">
        <f ca="1">(Inputs!$D$8-0.5*Inputs!$D$7^2)/Inputs!$D$9+Inputs!$D$7*SQRT(1/Inputs!$D$9)*F201</f>
        <v>-1.3499308580661205E-2</v>
      </c>
      <c r="H201">
        <f t="shared" ca="1" si="11"/>
        <v>82.009038962811402</v>
      </c>
    </row>
    <row r="202" spans="5:8">
      <c r="E202">
        <f t="shared" si="9"/>
        <v>199</v>
      </c>
      <c r="F202">
        <f t="shared" ca="1" si="10"/>
        <v>-0.19492197492113583</v>
      </c>
      <c r="G202">
        <f ca="1">(Inputs!$D$8-0.5*Inputs!$D$7^2)/Inputs!$D$9+Inputs!$D$7*SQRT(1/Inputs!$D$9)*F202</f>
        <v>-2.535151130331243E-3</v>
      </c>
      <c r="H202">
        <f t="shared" ca="1" si="11"/>
        <v>81.801396968115668</v>
      </c>
    </row>
    <row r="203" spans="5:8">
      <c r="E203">
        <f t="shared" si="9"/>
        <v>200</v>
      </c>
      <c r="F203">
        <f t="shared" ca="1" si="10"/>
        <v>-0.3946514010212076</v>
      </c>
      <c r="G203">
        <f ca="1">(Inputs!$D$8-0.5*Inputs!$D$7^2)/Inputs!$D$9+Inputs!$D$7*SQRT(1/Inputs!$D$9)*F203</f>
        <v>-5.0515053730095438E-3</v>
      </c>
      <c r="H203">
        <f t="shared" ca="1" si="11"/>
        <v>81.389218708644336</v>
      </c>
    </row>
    <row r="204" spans="5:8">
      <c r="E204">
        <f t="shared" si="9"/>
        <v>201</v>
      </c>
      <c r="F204">
        <f t="shared" ca="1" si="10"/>
        <v>-0.43906197564562177</v>
      </c>
      <c r="G204">
        <f ca="1">(Inputs!$D$8-0.5*Inputs!$D$7^2)/Inputs!$D$9+Inputs!$D$7*SQRT(1/Inputs!$D$9)*F204</f>
        <v>-5.6110260208079993E-3</v>
      </c>
      <c r="H204">
        <f t="shared" ca="1" si="11"/>
        <v>80.933820505039805</v>
      </c>
    </row>
    <row r="205" spans="5:8">
      <c r="E205">
        <f t="shared" si="9"/>
        <v>202</v>
      </c>
      <c r="F205">
        <f t="shared" ca="1" si="10"/>
        <v>-1.713078905734073</v>
      </c>
      <c r="G205">
        <f ca="1">(Inputs!$D$8-0.5*Inputs!$D$7^2)/Inputs!$D$9+Inputs!$D$7*SQRT(1/Inputs!$D$9)*F205</f>
        <v>-2.1662130606998498E-2</v>
      </c>
      <c r="H205">
        <f t="shared" ca="1" si="11"/>
        <v>79.199474152672892</v>
      </c>
    </row>
    <row r="206" spans="5:8">
      <c r="E206">
        <f t="shared" si="9"/>
        <v>203</v>
      </c>
      <c r="F206">
        <f t="shared" ca="1" si="10"/>
        <v>-0.51275675829899758</v>
      </c>
      <c r="G206">
        <f ca="1">(Inputs!$D$8-0.5*Inputs!$D$7^2)/Inputs!$D$9+Inputs!$D$7*SQRT(1/Inputs!$D$9)*F206</f>
        <v>-6.5394930104450905E-3</v>
      </c>
      <c r="H206">
        <f t="shared" ca="1" si="11"/>
        <v>78.683239541066186</v>
      </c>
    </row>
    <row r="207" spans="5:8">
      <c r="E207">
        <f t="shared" si="9"/>
        <v>204</v>
      </c>
      <c r="F207">
        <f t="shared" ca="1" si="10"/>
        <v>-1.9581037428355714</v>
      </c>
      <c r="G207">
        <f ca="1">(Inputs!$D$8-0.5*Inputs!$D$7^2)/Inputs!$D$9+Inputs!$D$7*SQRT(1/Inputs!$D$9)*F207</f>
        <v>-2.4749153387973153E-2</v>
      </c>
      <c r="H207">
        <f t="shared" ca="1" si="11"/>
        <v>76.759795954840982</v>
      </c>
    </row>
    <row r="208" spans="5:8">
      <c r="E208">
        <f t="shared" si="9"/>
        <v>205</v>
      </c>
      <c r="F208">
        <f t="shared" ca="1" si="10"/>
        <v>1.401457991205421</v>
      </c>
      <c r="G208">
        <f ca="1">(Inputs!$D$8-0.5*Inputs!$D$7^2)/Inputs!$D$9+Inputs!$D$7*SQRT(1/Inputs!$D$9)*F208</f>
        <v>1.7577345956985829E-2</v>
      </c>
      <c r="H208">
        <f t="shared" ca="1" si="11"/>
        <v>78.120957199441662</v>
      </c>
    </row>
    <row r="209" spans="5:8">
      <c r="E209">
        <f t="shared" si="9"/>
        <v>206</v>
      </c>
      <c r="F209">
        <f t="shared" ca="1" si="10"/>
        <v>-1.3908691468206942</v>
      </c>
      <c r="G209">
        <f ca="1">(Inputs!$D$8-0.5*Inputs!$D$7^2)/Inputs!$D$9+Inputs!$D$7*SQRT(1/Inputs!$D$9)*F209</f>
        <v>-1.7602669216127652E-2</v>
      </c>
      <c r="H209">
        <f t="shared" ca="1" si="11"/>
        <v>76.757852171247904</v>
      </c>
    </row>
    <row r="210" spans="5:8">
      <c r="E210">
        <f t="shared" si="9"/>
        <v>207</v>
      </c>
      <c r="F210">
        <f t="shared" ca="1" si="10"/>
        <v>0.76551775671089584</v>
      </c>
      <c r="G210">
        <f ca="1">(Inputs!$D$8-0.5*Inputs!$D$7^2)/Inputs!$D$9+Inputs!$D$7*SQRT(1/Inputs!$D$9)*F210</f>
        <v>9.5652521037829057E-3</v>
      </c>
      <c r="H210">
        <f t="shared" ca="1" si="11"/>
        <v>77.495583044280039</v>
      </c>
    </row>
    <row r="211" spans="5:8">
      <c r="E211">
        <f t="shared" si="9"/>
        <v>208</v>
      </c>
      <c r="F211">
        <f t="shared" ca="1" si="10"/>
        <v>0.26722820135027747</v>
      </c>
      <c r="G211">
        <f ca="1">(Inputs!$D$8-0.5*Inputs!$D$7^2)/Inputs!$D$9+Inputs!$D$7*SQRT(1/Inputs!$D$9)*F211</f>
        <v>3.287393797186964E-3</v>
      </c>
      <c r="H211">
        <f t="shared" ca="1" si="11"/>
        <v>77.750760748281991</v>
      </c>
    </row>
    <row r="212" spans="5:8">
      <c r="E212">
        <f t="shared" si="9"/>
        <v>209</v>
      </c>
      <c r="F212">
        <f t="shared" ca="1" si="10"/>
        <v>-0.41090091830849024</v>
      </c>
      <c r="G212">
        <f ca="1">(Inputs!$D$8-0.5*Inputs!$D$7^2)/Inputs!$D$9+Inputs!$D$7*SQRT(1/Inputs!$D$9)*F212</f>
        <v>-5.2562300476142812E-3</v>
      </c>
      <c r="H212">
        <f t="shared" ca="1" si="11"/>
        <v>77.343157031301999</v>
      </c>
    </row>
    <row r="213" spans="5:8">
      <c r="E213">
        <f t="shared" si="9"/>
        <v>210</v>
      </c>
      <c r="F213">
        <f t="shared" ca="1" si="10"/>
        <v>-0.34887543885463457</v>
      </c>
      <c r="G213">
        <f ca="1">(Inputs!$D$8-0.5*Inputs!$D$7^2)/Inputs!$D$9+Inputs!$D$7*SQRT(1/Inputs!$D$9)*F213</f>
        <v>-4.4747824591169078E-3</v>
      </c>
      <c r="H213">
        <f t="shared" ca="1" si="11"/>
        <v>76.99783642240287</v>
      </c>
    </row>
    <row r="214" spans="5:8">
      <c r="E214">
        <f t="shared" si="9"/>
        <v>211</v>
      </c>
      <c r="F214">
        <f t="shared" ca="1" si="10"/>
        <v>0.39966540745110524</v>
      </c>
      <c r="G214">
        <f ca="1">(Inputs!$D$8-0.5*Inputs!$D$7^2)/Inputs!$D$9+Inputs!$D$7*SQRT(1/Inputs!$D$9)*F214</f>
        <v>4.9559457575440898E-3</v>
      </c>
      <c r="H214">
        <f t="shared" ca="1" si="11"/>
        <v>77.380380674457257</v>
      </c>
    </row>
    <row r="215" spans="5:8">
      <c r="E215">
        <f t="shared" si="9"/>
        <v>212</v>
      </c>
      <c r="F215">
        <f t="shared" ca="1" si="10"/>
        <v>-0.22897847546252204</v>
      </c>
      <c r="G215">
        <f ca="1">(Inputs!$D$8-0.5*Inputs!$D$7^2)/Inputs!$D$9+Inputs!$D$7*SQRT(1/Inputs!$D$9)*F215</f>
        <v>-2.9642227063200266E-3</v>
      </c>
      <c r="H215">
        <f t="shared" ca="1" si="11"/>
        <v>77.151347613240731</v>
      </c>
    </row>
    <row r="216" spans="5:8">
      <c r="E216">
        <f t="shared" si="9"/>
        <v>213</v>
      </c>
      <c r="F216">
        <f t="shared" ca="1" si="10"/>
        <v>1.0701208914978861</v>
      </c>
      <c r="G216">
        <f ca="1">(Inputs!$D$8-0.5*Inputs!$D$7^2)/Inputs!$D$9+Inputs!$D$7*SQRT(1/Inputs!$D$9)*F216</f>
        <v>1.340289088100702E-2</v>
      </c>
      <c r="H216">
        <f t="shared" ca="1" si="11"/>
        <v>78.192359406678648</v>
      </c>
    </row>
    <row r="217" spans="5:8">
      <c r="E217">
        <f t="shared" si="9"/>
        <v>214</v>
      </c>
      <c r="F217">
        <f t="shared" ca="1" si="10"/>
        <v>-7.6337444839803703E-2</v>
      </c>
      <c r="G217">
        <f ca="1">(Inputs!$D$8-0.5*Inputs!$D$7^2)/Inputs!$D$9+Inputs!$D$7*SQRT(1/Inputs!$D$9)*F217</f>
        <v>-1.0411264830233248E-3</v>
      </c>
      <c r="H217">
        <f t="shared" ca="1" si="11"/>
        <v>78.110993633910354</v>
      </c>
    </row>
    <row r="218" spans="5:8">
      <c r="E218">
        <f t="shared" si="9"/>
        <v>215</v>
      </c>
      <c r="F218">
        <f t="shared" ca="1" si="10"/>
        <v>0.42355048623034941</v>
      </c>
      <c r="G218">
        <f ca="1">(Inputs!$D$8-0.5*Inputs!$D$7^2)/Inputs!$D$9+Inputs!$D$7*SQRT(1/Inputs!$D$9)*F218</f>
        <v>5.2568694646634535E-3</v>
      </c>
      <c r="H218">
        <f t="shared" ca="1" si="11"/>
        <v>78.522694110931738</v>
      </c>
    </row>
    <row r="219" spans="5:8">
      <c r="E219">
        <f t="shared" si="9"/>
        <v>216</v>
      </c>
      <c r="F219">
        <f t="shared" ca="1" si="10"/>
        <v>2.3957179311215997</v>
      </c>
      <c r="G219">
        <f ca="1">(Inputs!$D$8-0.5*Inputs!$D$7^2)/Inputs!$D$9+Inputs!$D$7*SQRT(1/Inputs!$D$9)*F219</f>
        <v>3.0103843764472643E-2</v>
      </c>
      <c r="H219">
        <f t="shared" ca="1" si="11"/>
        <v>80.922469022368716</v>
      </c>
    </row>
    <row r="220" spans="5:8">
      <c r="E220">
        <f t="shared" si="9"/>
        <v>217</v>
      </c>
      <c r="F220">
        <f t="shared" ca="1" si="10"/>
        <v>0.28189653588139924</v>
      </c>
      <c r="G220">
        <f ca="1">(Inputs!$D$8-0.5*Inputs!$D$7^2)/Inputs!$D$9+Inputs!$D$7*SQRT(1/Inputs!$D$9)*F220</f>
        <v>3.4721974415529138E-3</v>
      </c>
      <c r="H220">
        <f t="shared" ca="1" si="11"/>
        <v>81.203936184267789</v>
      </c>
    </row>
    <row r="221" spans="5:8">
      <c r="E221">
        <f t="shared" si="9"/>
        <v>218</v>
      </c>
      <c r="F221">
        <f t="shared" ca="1" si="10"/>
        <v>-0.1502576276411825</v>
      </c>
      <c r="G221">
        <f ca="1">(Inputs!$D$8-0.5*Inputs!$D$7^2)/Inputs!$D$9+Inputs!$D$7*SQRT(1/Inputs!$D$9)*F221</f>
        <v>-1.9724332475989544E-3</v>
      </c>
      <c r="H221">
        <f t="shared" ca="1" si="11"/>
        <v>81.043924698566201</v>
      </c>
    </row>
    <row r="222" spans="5:8">
      <c r="E222">
        <f t="shared" si="9"/>
        <v>219</v>
      </c>
      <c r="F222">
        <f t="shared" ca="1" si="10"/>
        <v>0.88717360292512581</v>
      </c>
      <c r="G222">
        <f ca="1">(Inputs!$D$8-0.5*Inputs!$D$7^2)/Inputs!$D$9+Inputs!$D$7*SQRT(1/Inputs!$D$9)*F222</f>
        <v>1.1097971697211341E-2</v>
      </c>
      <c r="H222">
        <f t="shared" ca="1" si="11"/>
        <v>81.948357281858463</v>
      </c>
    </row>
    <row r="223" spans="5:8">
      <c r="E223">
        <f t="shared" si="9"/>
        <v>220</v>
      </c>
      <c r="F223">
        <f t="shared" ca="1" si="10"/>
        <v>-1.2932699330254112</v>
      </c>
      <c r="G223">
        <f ca="1">(Inputs!$D$8-0.5*Inputs!$D$7^2)/Inputs!$D$9+Inputs!$D$7*SQRT(1/Inputs!$D$9)*F223</f>
        <v>-1.637303470251935E-2</v>
      </c>
      <c r="H223">
        <f t="shared" ca="1" si="11"/>
        <v>80.617538485381786</v>
      </c>
    </row>
    <row r="224" spans="5:8">
      <c r="E224">
        <f t="shared" si="9"/>
        <v>221</v>
      </c>
      <c r="F224">
        <f t="shared" ca="1" si="10"/>
        <v>1.6395635612474124</v>
      </c>
      <c r="G224">
        <f ca="1">(Inputs!$D$8-0.5*Inputs!$D$7^2)/Inputs!$D$9+Inputs!$D$7*SQRT(1/Inputs!$D$9)*F224</f>
        <v>2.0577194167035261E-2</v>
      </c>
      <c r="H224">
        <f t="shared" ca="1" si="11"/>
        <v>82.293606476539338</v>
      </c>
    </row>
    <row r="225" spans="5:8">
      <c r="E225">
        <f t="shared" si="9"/>
        <v>222</v>
      </c>
      <c r="F225">
        <f t="shared" ca="1" si="10"/>
        <v>-0.8597169564696745</v>
      </c>
      <c r="G225">
        <f ca="1">(Inputs!$D$8-0.5*Inputs!$D$7^2)/Inputs!$D$9+Inputs!$D$7*SQRT(1/Inputs!$D$9)*F225</f>
        <v>-1.0910780625670323E-2</v>
      </c>
      <c r="H225">
        <f t="shared" ca="1" si="11"/>
        <v>81.400599549709682</v>
      </c>
    </row>
    <row r="226" spans="5:8">
      <c r="E226">
        <f t="shared" si="9"/>
        <v>223</v>
      </c>
      <c r="F226">
        <f t="shared" ca="1" si="10"/>
        <v>-1.0872694962413008</v>
      </c>
      <c r="G226">
        <f ca="1">(Inputs!$D$8-0.5*Inputs!$D$7^2)/Inputs!$D$9+Inputs!$D$7*SQRT(1/Inputs!$D$9)*F226</f>
        <v>-1.3777673151560121E-2</v>
      </c>
      <c r="H226">
        <f t="shared" ca="1" si="11"/>
        <v>80.28677923998346</v>
      </c>
    </row>
    <row r="227" spans="5:8">
      <c r="E227">
        <f t="shared" si="9"/>
        <v>224</v>
      </c>
      <c r="F227">
        <f t="shared" ca="1" si="10"/>
        <v>1.8259350740089491</v>
      </c>
      <c r="G227">
        <f ca="1">(Inputs!$D$8-0.5*Inputs!$D$7^2)/Inputs!$D$9+Inputs!$D$7*SQRT(1/Inputs!$D$9)*F227</f>
        <v>2.2925254520530149E-2</v>
      </c>
      <c r="H227">
        <f t="shared" ca="1" si="11"/>
        <v>82.148634295747755</v>
      </c>
    </row>
    <row r="228" spans="5:8">
      <c r="E228">
        <f t="shared" si="9"/>
        <v>225</v>
      </c>
      <c r="F228">
        <f t="shared" ca="1" si="10"/>
        <v>-1.2206360385158006</v>
      </c>
      <c r="G228">
        <f ca="1">(Inputs!$D$8-0.5*Inputs!$D$7^2)/Inputs!$D$9+Inputs!$D$7*SQRT(1/Inputs!$D$9)*F228</f>
        <v>-1.5457933647154927E-2</v>
      </c>
      <c r="H228">
        <f t="shared" ca="1" si="11"/>
        <v>80.888550395341412</v>
      </c>
    </row>
    <row r="229" spans="5:8">
      <c r="E229">
        <f t="shared" si="9"/>
        <v>226</v>
      </c>
      <c r="F229">
        <f t="shared" ca="1" si="10"/>
        <v>-1.5927519454795538</v>
      </c>
      <c r="G229">
        <f ca="1">(Inputs!$D$8-0.5*Inputs!$D$7^2)/Inputs!$D$9+Inputs!$D$7*SQRT(1/Inputs!$D$9)*F229</f>
        <v>-2.014615340295178E-2</v>
      </c>
      <c r="H229">
        <f t="shared" ca="1" si="11"/>
        <v>79.275262587089827</v>
      </c>
    </row>
    <row r="230" spans="5:8">
      <c r="E230">
        <f t="shared" si="9"/>
        <v>227</v>
      </c>
      <c r="F230">
        <f t="shared" ca="1" si="10"/>
        <v>-0.14866525360338079</v>
      </c>
      <c r="G230">
        <f ca="1">(Inputs!$D$8-0.5*Inputs!$D$7^2)/Inputs!$D$9+Inputs!$D$7*SQRT(1/Inputs!$D$9)*F230</f>
        <v>-1.9523712204645776E-3</v>
      </c>
      <c r="H230">
        <f t="shared" ca="1" si="11"/>
        <v>79.120638836515965</v>
      </c>
    </row>
    <row r="231" spans="5:8">
      <c r="E231">
        <f t="shared" si="9"/>
        <v>228</v>
      </c>
      <c r="F231">
        <f t="shared" ca="1" si="10"/>
        <v>-2.1126594503354701</v>
      </c>
      <c r="G231">
        <f ca="1">(Inputs!$D$8-0.5*Inputs!$D$7^2)/Inputs!$D$9+Inputs!$D$7*SQRT(1/Inputs!$D$9)*F231</f>
        <v>-2.6696372272498735E-2</v>
      </c>
      <c r="H231">
        <f t="shared" ca="1" si="11"/>
        <v>77.036350069393038</v>
      </c>
    </row>
    <row r="232" spans="5:8">
      <c r="E232">
        <f t="shared" si="9"/>
        <v>229</v>
      </c>
      <c r="F232">
        <f t="shared" ca="1" si="10"/>
        <v>1.3350268095922759</v>
      </c>
      <c r="G232">
        <f ca="1">(Inputs!$D$8-0.5*Inputs!$D$7^2)/Inputs!$D$9+Inputs!$D$7*SQRT(1/Inputs!$D$9)*F232</f>
        <v>1.6740391738659408E-2</v>
      </c>
      <c r="H232">
        <f t="shared" ca="1" si="11"/>
        <v>78.336823595479956</v>
      </c>
    </row>
    <row r="233" spans="5:8">
      <c r="E233">
        <f t="shared" si="9"/>
        <v>230</v>
      </c>
      <c r="F233">
        <f t="shared" ca="1" si="10"/>
        <v>0.93404905729557142</v>
      </c>
      <c r="G233">
        <f ca="1">(Inputs!$D$8-0.5*Inputs!$D$7^2)/Inputs!$D$9+Inputs!$D$7*SQRT(1/Inputs!$D$9)*F233</f>
        <v>1.1688546910817792E-2</v>
      </c>
      <c r="H233">
        <f t="shared" ca="1" si="11"/>
        <v>79.257839415323474</v>
      </c>
    </row>
    <row r="234" spans="5:8">
      <c r="E234">
        <f t="shared" si="9"/>
        <v>231</v>
      </c>
      <c r="F234">
        <f t="shared" ca="1" si="10"/>
        <v>8.4499236981667614E-2</v>
      </c>
      <c r="G234">
        <f ca="1">(Inputs!$D$8-0.5*Inputs!$D$7^2)/Inputs!$D$9+Inputs!$D$7*SQRT(1/Inputs!$D$9)*F234</f>
        <v>9.8522523981684753E-4</v>
      </c>
      <c r="H234">
        <f t="shared" ca="1" si="11"/>
        <v>79.335964718359534</v>
      </c>
    </row>
    <row r="235" spans="5:8">
      <c r="E235">
        <f t="shared" si="9"/>
        <v>232</v>
      </c>
      <c r="F235">
        <f t="shared" ca="1" si="10"/>
        <v>-0.35975215883272627</v>
      </c>
      <c r="G235">
        <f ca="1">(Inputs!$D$8-0.5*Inputs!$D$7^2)/Inputs!$D$9+Inputs!$D$7*SQRT(1/Inputs!$D$9)*F235</f>
        <v>-4.6118162502698529E-3</v>
      </c>
      <c r="H235">
        <f t="shared" ca="1" si="11"/>
        <v>78.970924223881823</v>
      </c>
    </row>
    <row r="236" spans="5:8">
      <c r="E236">
        <f t="shared" si="9"/>
        <v>233</v>
      </c>
      <c r="F236">
        <f t="shared" ca="1" si="10"/>
        <v>0.21121496985112892</v>
      </c>
      <c r="G236">
        <f ca="1">(Inputs!$D$8-0.5*Inputs!$D$7^2)/Inputs!$D$9+Inputs!$D$7*SQRT(1/Inputs!$D$9)*F236</f>
        <v>2.5816934130163129E-3</v>
      </c>
      <c r="H236">
        <f t="shared" ca="1" si="11"/>
        <v>79.175066341564388</v>
      </c>
    </row>
    <row r="237" spans="5:8">
      <c r="E237">
        <f t="shared" si="9"/>
        <v>234</v>
      </c>
      <c r="F237">
        <f t="shared" ca="1" si="10"/>
        <v>0.25226476813909826</v>
      </c>
      <c r="G237">
        <f ca="1">(Inputs!$D$8-0.5*Inputs!$D$7^2)/Inputs!$D$9+Inputs!$D$7*SQRT(1/Inputs!$D$9)*F237</f>
        <v>3.0988722589178935E-3</v>
      </c>
      <c r="H237">
        <f t="shared" ca="1" si="11"/>
        <v>79.420800310689472</v>
      </c>
    </row>
    <row r="238" spans="5:8">
      <c r="E238">
        <f t="shared" si="9"/>
        <v>235</v>
      </c>
      <c r="F238">
        <f t="shared" ca="1" si="10"/>
        <v>8.2485369531234864E-2</v>
      </c>
      <c r="G238">
        <f ca="1">(Inputs!$D$8-0.5*Inputs!$D$7^2)/Inputs!$D$9+Inputs!$D$7*SQRT(1/Inputs!$D$9)*F238</f>
        <v>9.5985289482973925E-4</v>
      </c>
      <c r="H238">
        <f t="shared" ca="1" si="11"/>
        <v>79.497069193375651</v>
      </c>
    </row>
    <row r="239" spans="5:8">
      <c r="E239">
        <f t="shared" si="9"/>
        <v>236</v>
      </c>
      <c r="F239">
        <f t="shared" ca="1" si="10"/>
        <v>1.8741910459988627</v>
      </c>
      <c r="G239">
        <f ca="1">(Inputs!$D$8-0.5*Inputs!$D$7^2)/Inputs!$D$9+Inputs!$D$7*SQRT(1/Inputs!$D$9)*F239</f>
        <v>2.353322262128734E-2</v>
      </c>
      <c r="H239">
        <f t="shared" ca="1" si="11"/>
        <v>81.390078359964875</v>
      </c>
    </row>
    <row r="240" spans="5:8">
      <c r="E240">
        <f t="shared" si="9"/>
        <v>237</v>
      </c>
      <c r="F240">
        <f t="shared" ca="1" si="10"/>
        <v>2.2224283628573649E-2</v>
      </c>
      <c r="G240">
        <f ca="1">(Inputs!$D$8-0.5*Inputs!$D$7^2)/Inputs!$D$9+Inputs!$D$7*SQRT(1/Inputs!$D$9)*F240</f>
        <v>2.0063457562430185E-4</v>
      </c>
      <c r="H240">
        <f t="shared" ca="1" si="11"/>
        <v>81.406409662053804</v>
      </c>
    </row>
    <row r="241" spans="5:8">
      <c r="E241">
        <f t="shared" si="9"/>
        <v>238</v>
      </c>
      <c r="F241">
        <f t="shared" ca="1" si="10"/>
        <v>-0.40329261683711026</v>
      </c>
      <c r="G241">
        <f ca="1">(Inputs!$D$8-0.5*Inputs!$D$7^2)/Inputs!$D$9+Inputs!$D$7*SQRT(1/Inputs!$D$9)*F241</f>
        <v>-5.1603744590767659E-3</v>
      </c>
      <c r="H241">
        <f t="shared" ca="1" si="11"/>
        <v>80.987404147330764</v>
      </c>
    </row>
    <row r="242" spans="5:8">
      <c r="E242">
        <f t="shared" si="9"/>
        <v>239</v>
      </c>
      <c r="F242">
        <f t="shared" ca="1" si="10"/>
        <v>0.32783553304908908</v>
      </c>
      <c r="G242">
        <f ca="1">(Inputs!$D$8-0.5*Inputs!$D$7^2)/Inputs!$D$9+Inputs!$D$7*SQRT(1/Inputs!$D$9)*F242</f>
        <v>4.0509744033881898E-3</v>
      </c>
      <c r="H242">
        <f t="shared" ca="1" si="11"/>
        <v>81.316147464342563</v>
      </c>
    </row>
    <row r="243" spans="5:8">
      <c r="E243">
        <f t="shared" si="9"/>
        <v>240</v>
      </c>
      <c r="F243">
        <f t="shared" ca="1" si="10"/>
        <v>-0.41916939957001648</v>
      </c>
      <c r="G243">
        <f ca="1">(Inputs!$D$8-0.5*Inputs!$D$7^2)/Inputs!$D$9+Inputs!$D$7*SQRT(1/Inputs!$D$9)*F243</f>
        <v>-5.3604031197009286E-3</v>
      </c>
      <c r="H243">
        <f t="shared" ca="1" si="11"/>
        <v>80.881426315031575</v>
      </c>
    </row>
    <row r="244" spans="5:8">
      <c r="E244">
        <f t="shared" si="9"/>
        <v>241</v>
      </c>
      <c r="F244">
        <f t="shared" ca="1" si="10"/>
        <v>-0.79281591348188241</v>
      </c>
      <c r="G244">
        <f ca="1">(Inputs!$D$8-0.5*Inputs!$D$7^2)/Inputs!$D$9+Inputs!$D$7*SQRT(1/Inputs!$D$9)*F244</f>
        <v>-1.0067906710448707E-2</v>
      </c>
      <c r="H244">
        <f t="shared" ca="1" si="11"/>
        <v>80.07120511983004</v>
      </c>
    </row>
    <row r="245" spans="5:8">
      <c r="E245">
        <f t="shared" ref="E245:E255" si="12">+E244+1</f>
        <v>242</v>
      </c>
      <c r="F245">
        <f t="shared" ca="1" si="10"/>
        <v>-0.401107836754237</v>
      </c>
      <c r="G245">
        <f ca="1">(Inputs!$D$8-0.5*Inputs!$D$7^2)/Inputs!$D$9+Inputs!$D$7*SQRT(1/Inputs!$D$9)*F245</f>
        <v>-5.1328488173212911E-3</v>
      </c>
      <c r="H245">
        <f t="shared" ca="1" si="11"/>
        <v>79.661264710430459</v>
      </c>
    </row>
    <row r="246" spans="5:8">
      <c r="E246">
        <f t="shared" si="12"/>
        <v>243</v>
      </c>
      <c r="F246">
        <f t="shared" ca="1" si="10"/>
        <v>0.47546323715656319</v>
      </c>
      <c r="G246">
        <f ca="1">(Inputs!$D$8-0.5*Inputs!$D$7^2)/Inputs!$D$9+Inputs!$D$7*SQRT(1/Inputs!$D$9)*F246</f>
        <v>5.910908649539642E-3</v>
      </c>
      <c r="H246">
        <f t="shared" ca="1" si="11"/>
        <v>80.133529551175243</v>
      </c>
    </row>
    <row r="247" spans="5:8">
      <c r="E247">
        <f t="shared" si="12"/>
        <v>244</v>
      </c>
      <c r="F247">
        <f t="shared" ca="1" si="10"/>
        <v>-1.3184317369270981</v>
      </c>
      <c r="G247">
        <f ca="1">(Inputs!$D$8-0.5*Inputs!$D$7^2)/Inputs!$D$9+Inputs!$D$7*SQRT(1/Inputs!$D$9)*F247</f>
        <v>-1.6690043634241439E-2</v>
      </c>
      <c r="H247">
        <f t="shared" ca="1" si="11"/>
        <v>78.807196512740788</v>
      </c>
    </row>
    <row r="248" spans="5:8">
      <c r="E248">
        <f t="shared" si="12"/>
        <v>245</v>
      </c>
      <c r="F248">
        <f t="shared" ca="1" si="10"/>
        <v>-0.42324645454336585</v>
      </c>
      <c r="G248">
        <f ca="1">(Inputs!$D$8-0.5*Inputs!$D$7^2)/Inputs!$D$9+Inputs!$D$7*SQRT(1/Inputs!$D$9)*F248</f>
        <v>-5.4117691841819833E-3</v>
      </c>
      <c r="H248">
        <f t="shared" ca="1" si="11"/>
        <v>78.381862099070091</v>
      </c>
    </row>
    <row r="249" spans="5:8">
      <c r="E249">
        <f t="shared" si="12"/>
        <v>246</v>
      </c>
      <c r="F249">
        <f t="shared" ca="1" si="10"/>
        <v>1.8848608369002076</v>
      </c>
      <c r="G249">
        <f ca="1">(Inputs!$D$8-0.5*Inputs!$D$7^2)/Inputs!$D$9+Inputs!$D$7*SQRT(1/Inputs!$D$9)*F249</f>
        <v>2.3667649351125523E-2</v>
      </c>
      <c r="H249">
        <f t="shared" ca="1" si="11"/>
        <v>80.25910384799424</v>
      </c>
    </row>
    <row r="250" spans="5:8">
      <c r="E250">
        <f t="shared" si="12"/>
        <v>247</v>
      </c>
      <c r="F250">
        <f t="shared" ca="1" si="10"/>
        <v>1.5403448267730073</v>
      </c>
      <c r="G250">
        <f ca="1">(Inputs!$D$8-0.5*Inputs!$D$7^2)/Inputs!$D$9+Inputs!$D$7*SQRT(1/Inputs!$D$9)*F250</f>
        <v>1.9327155610759893E-2</v>
      </c>
      <c r="H250">
        <f t="shared" ca="1" si="11"/>
        <v>81.825371027148861</v>
      </c>
    </row>
    <row r="251" spans="5:8">
      <c r="E251">
        <f t="shared" si="12"/>
        <v>248</v>
      </c>
      <c r="F251">
        <f t="shared" ca="1" si="10"/>
        <v>-0.16300465364194713</v>
      </c>
      <c r="G251">
        <f ca="1">(Inputs!$D$8-0.5*Inputs!$D$7^2)/Inputs!$D$9+Inputs!$D$7*SQRT(1/Inputs!$D$9)*F251</f>
        <v>-2.1330306797594182E-3</v>
      </c>
      <c r="H251">
        <f t="shared" ca="1" si="11"/>
        <v>81.651021013434487</v>
      </c>
    </row>
    <row r="252" spans="5:8">
      <c r="E252">
        <f t="shared" si="12"/>
        <v>249</v>
      </c>
      <c r="F252">
        <f t="shared" ca="1" si="10"/>
        <v>0.79995453110305448</v>
      </c>
      <c r="G252">
        <f ca="1">(Inputs!$D$8-0.5*Inputs!$D$7^2)/Inputs!$D$9+Inputs!$D$7*SQRT(1/Inputs!$D$9)*F252</f>
        <v>9.9991146799585685E-3</v>
      </c>
      <c r="H252">
        <f t="shared" ca="1" si="11"/>
        <v>82.471554403460146</v>
      </c>
    </row>
    <row r="253" spans="5:8">
      <c r="E253">
        <f t="shared" si="12"/>
        <v>250</v>
      </c>
      <c r="F253">
        <f t="shared" ca="1" si="10"/>
        <v>0.37957268264858401</v>
      </c>
      <c r="G253">
        <f ca="1">(Inputs!$D$8-0.5*Inputs!$D$7^2)/Inputs!$D$9+Inputs!$D$7*SQRT(1/Inputs!$D$9)*F253</f>
        <v>4.7028012195006116E-3</v>
      </c>
      <c r="H253">
        <f t="shared" ca="1" si="11"/>
        <v>82.860315145832743</v>
      </c>
    </row>
    <row r="254" spans="5:8">
      <c r="E254">
        <f t="shared" si="12"/>
        <v>251</v>
      </c>
      <c r="F254">
        <f t="shared" ca="1" si="10"/>
        <v>1.0520509330284504</v>
      </c>
      <c r="G254">
        <f ca="1">(Inputs!$D$8-0.5*Inputs!$D$7^2)/Inputs!$D$9+Inputs!$D$7*SQRT(1/Inputs!$D$9)*F254</f>
        <v>1.3175230803333724E-2</v>
      </c>
      <c r="H254">
        <f t="shared" ca="1" si="11"/>
        <v>83.959242335445666</v>
      </c>
    </row>
    <row r="255" spans="5:8">
      <c r="E255">
        <f t="shared" si="12"/>
        <v>252</v>
      </c>
      <c r="F255">
        <f t="shared" ca="1" si="10"/>
        <v>-9.2873627842795292E-2</v>
      </c>
      <c r="G255">
        <f ca="1">(Inputs!$D$8-0.5*Inputs!$D$7^2)/Inputs!$D$9+Inputs!$D$7*SQRT(1/Inputs!$D$9)*F255</f>
        <v>-1.2494628061669867E-3</v>
      </c>
      <c r="H255">
        <f t="shared" ca="1" si="11"/>
        <v>83.854403894419036</v>
      </c>
    </row>
  </sheetData>
  <mergeCells count="1">
    <mergeCell ref="B2:C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25A8-EDB7-48B0-8E87-ACFA1254A691}">
  <dimension ref="C2:L255"/>
  <sheetViews>
    <sheetView showGridLines="0" zoomScale="85" zoomScaleNormal="85" workbookViewId="0">
      <selection activeCell="D41" sqref="D41"/>
    </sheetView>
  </sheetViews>
  <sheetFormatPr defaultColWidth="14.5703125" defaultRowHeight="15"/>
  <cols>
    <col min="8" max="8" width="16.5703125" customWidth="1"/>
    <col min="9" max="9" width="15.140625" customWidth="1"/>
    <col min="10" max="10" width="16.28515625" customWidth="1"/>
    <col min="11" max="11" width="16.85546875" customWidth="1"/>
    <col min="12" max="12" width="15.85546875" customWidth="1"/>
  </cols>
  <sheetData>
    <row r="2" spans="3:12">
      <c r="G2" s="11" t="s">
        <v>45</v>
      </c>
      <c r="H2" s="12" t="s">
        <v>48</v>
      </c>
      <c r="I2" s="12" t="s">
        <v>50</v>
      </c>
      <c r="J2" s="12" t="s">
        <v>51</v>
      </c>
      <c r="K2" s="12" t="s">
        <v>52</v>
      </c>
      <c r="L2" s="13" t="s">
        <v>53</v>
      </c>
    </row>
    <row r="3" spans="3:12">
      <c r="C3" s="68" t="s">
        <v>49</v>
      </c>
      <c r="D3" s="68"/>
      <c r="G3" s="35">
        <f>Simulation!E3</f>
        <v>0</v>
      </c>
      <c r="H3" s="19">
        <f>Simulation!H3</f>
        <v>100</v>
      </c>
      <c r="I3" s="19">
        <f>Inputs!$D$13</f>
        <v>100</v>
      </c>
      <c r="J3" s="19">
        <f>(Simulation!H3-Inputs!$D$13)/Inputs!$D$13*Inputs!$D$12</f>
        <v>0</v>
      </c>
      <c r="K3" s="19">
        <v>0</v>
      </c>
      <c r="L3" s="36">
        <v>0</v>
      </c>
    </row>
    <row r="4" spans="3:12">
      <c r="G4" s="35">
        <f>Simulation!E4</f>
        <v>1</v>
      </c>
      <c r="H4" s="19">
        <f ca="1">Simulation!H4</f>
        <v>99.569390642965018</v>
      </c>
      <c r="I4" s="19">
        <f>Inputs!$D$13</f>
        <v>100</v>
      </c>
      <c r="J4" s="19">
        <f ca="1">(Simulation!H4-Inputs!$D$13)/Inputs!$D$13*Inputs!$D$12</f>
        <v>-4306.0935703498162</v>
      </c>
      <c r="K4" s="19">
        <f ca="1">J4-J3</f>
        <v>-4306.0935703498162</v>
      </c>
      <c r="L4" s="36">
        <f ca="1">+L3+K4</f>
        <v>-4306.0935703498162</v>
      </c>
    </row>
    <row r="5" spans="3:12">
      <c r="G5" s="35">
        <f>Simulation!E5</f>
        <v>2</v>
      </c>
      <c r="H5" s="19">
        <f ca="1">Simulation!H5</f>
        <v>101.62229935680563</v>
      </c>
      <c r="I5" s="19">
        <f>Inputs!$D$13</f>
        <v>100</v>
      </c>
      <c r="J5" s="19">
        <f ca="1">(Simulation!H5-Inputs!$D$13)/Inputs!$D$13*Inputs!$D$12</f>
        <v>16222.993568056267</v>
      </c>
      <c r="K5" s="19">
        <f t="shared" ref="K5:K68" ca="1" si="0">J5-J4</f>
        <v>20529.087138406081</v>
      </c>
      <c r="L5" s="36">
        <f t="shared" ref="L5:L68" ca="1" si="1">+L4+K5</f>
        <v>16222.993568056265</v>
      </c>
    </row>
    <row r="6" spans="3:12">
      <c r="G6" s="35">
        <f>Simulation!E6</f>
        <v>3</v>
      </c>
      <c r="H6" s="19">
        <f ca="1">Simulation!H6</f>
        <v>98.840004116834905</v>
      </c>
      <c r="I6" s="19">
        <f>Inputs!$D$13</f>
        <v>100</v>
      </c>
      <c r="J6" s="19">
        <f ca="1">(Simulation!H6-Inputs!$D$13)/Inputs!$D$13*Inputs!$D$12</f>
        <v>-11599.958831650953</v>
      </c>
      <c r="K6" s="19">
        <f t="shared" ca="1" si="0"/>
        <v>-27822.952399707217</v>
      </c>
      <c r="L6" s="36">
        <f t="shared" ca="1" si="1"/>
        <v>-11599.958831650953</v>
      </c>
    </row>
    <row r="7" spans="3:12">
      <c r="G7" s="35">
        <f>Simulation!E7</f>
        <v>4</v>
      </c>
      <c r="H7" s="19">
        <f ca="1">Simulation!H7</f>
        <v>99.252425090856832</v>
      </c>
      <c r="I7" s="19">
        <f>Inputs!$D$13</f>
        <v>100</v>
      </c>
      <c r="J7" s="19">
        <f ca="1">(Simulation!H7-Inputs!$D$13)/Inputs!$D$13*Inputs!$D$12</f>
        <v>-7475.7490914316804</v>
      </c>
      <c r="K7" s="19">
        <f t="shared" ca="1" si="0"/>
        <v>4124.2097402192721</v>
      </c>
      <c r="L7" s="36">
        <f t="shared" ca="1" si="1"/>
        <v>-7475.7490914316804</v>
      </c>
    </row>
    <row r="8" spans="3:12">
      <c r="G8" s="35">
        <f>Simulation!E8</f>
        <v>5</v>
      </c>
      <c r="H8" s="19">
        <f ca="1">Simulation!H8</f>
        <v>97.623469327594165</v>
      </c>
      <c r="I8" s="19">
        <f>Inputs!$D$13</f>
        <v>100</v>
      </c>
      <c r="J8" s="19">
        <f ca="1">(Simulation!H8-Inputs!$D$13)/Inputs!$D$13*Inputs!$D$12</f>
        <v>-23765.306724058348</v>
      </c>
      <c r="K8" s="19">
        <f t="shared" ca="1" si="0"/>
        <v>-16289.557632626667</v>
      </c>
      <c r="L8" s="36">
        <f t="shared" ca="1" si="1"/>
        <v>-23765.306724058348</v>
      </c>
    </row>
    <row r="9" spans="3:12">
      <c r="G9" s="35">
        <f>Simulation!E9</f>
        <v>6</v>
      </c>
      <c r="H9" s="19">
        <f ca="1">Simulation!H9</f>
        <v>97.218671138474093</v>
      </c>
      <c r="I9" s="19">
        <f>Inputs!$D$13</f>
        <v>100</v>
      </c>
      <c r="J9" s="19">
        <f ca="1">(Simulation!H9-Inputs!$D$13)/Inputs!$D$13*Inputs!$D$12</f>
        <v>-27813.288615259069</v>
      </c>
      <c r="K9" s="19">
        <f t="shared" ca="1" si="0"/>
        <v>-4047.9818912007213</v>
      </c>
      <c r="L9" s="36">
        <f t="shared" ca="1" si="1"/>
        <v>-27813.288615259069</v>
      </c>
    </row>
    <row r="10" spans="3:12">
      <c r="G10" s="35">
        <f>Simulation!E10</f>
        <v>7</v>
      </c>
      <c r="H10" s="19">
        <f ca="1">Simulation!H10</f>
        <v>97.23935014273313</v>
      </c>
      <c r="I10" s="19">
        <f>Inputs!$D$13</f>
        <v>100</v>
      </c>
      <c r="J10" s="19">
        <f ca="1">(Simulation!H10-Inputs!$D$13)/Inputs!$D$13*Inputs!$D$12</f>
        <v>-27606.498572668697</v>
      </c>
      <c r="K10" s="19">
        <f t="shared" ca="1" si="0"/>
        <v>206.79004259037174</v>
      </c>
      <c r="L10" s="36">
        <f t="shared" ca="1" si="1"/>
        <v>-27606.498572668697</v>
      </c>
    </row>
    <row r="11" spans="3:12">
      <c r="G11" s="35">
        <f>Simulation!E11</f>
        <v>8</v>
      </c>
      <c r="H11" s="19">
        <f ca="1">Simulation!H11</f>
        <v>96.393089972692863</v>
      </c>
      <c r="I11" s="19">
        <f>Inputs!$D$13</f>
        <v>100</v>
      </c>
      <c r="J11" s="19">
        <f ca="1">(Simulation!H11-Inputs!$D$13)/Inputs!$D$13*Inputs!$D$12</f>
        <v>-36069.100273071374</v>
      </c>
      <c r="K11" s="19">
        <f t="shared" ca="1" si="0"/>
        <v>-8462.6017004026762</v>
      </c>
      <c r="L11" s="36">
        <f t="shared" ca="1" si="1"/>
        <v>-36069.100273071374</v>
      </c>
    </row>
    <row r="12" spans="3:12">
      <c r="G12" s="35">
        <f>Simulation!E12</f>
        <v>9</v>
      </c>
      <c r="H12" s="19">
        <f ca="1">Simulation!H12</f>
        <v>94.923417135980799</v>
      </c>
      <c r="I12" s="19">
        <f>Inputs!$D$13</f>
        <v>100</v>
      </c>
      <c r="J12" s="19">
        <f ca="1">(Simulation!H12-Inputs!$D$13)/Inputs!$D$13*Inputs!$D$12</f>
        <v>-50765.828640192012</v>
      </c>
      <c r="K12" s="19">
        <f t="shared" ca="1" si="0"/>
        <v>-14696.728367120639</v>
      </c>
      <c r="L12" s="36">
        <f t="shared" ca="1" si="1"/>
        <v>-50765.828640192012</v>
      </c>
    </row>
    <row r="13" spans="3:12">
      <c r="G13" s="35">
        <f>Simulation!E13</f>
        <v>10</v>
      </c>
      <c r="H13" s="19">
        <f ca="1">Simulation!H13</f>
        <v>93.942117093341182</v>
      </c>
      <c r="I13" s="19">
        <f>Inputs!$D$13</f>
        <v>100</v>
      </c>
      <c r="J13" s="19">
        <f ca="1">(Simulation!H13-Inputs!$D$13)/Inputs!$D$13*Inputs!$D$12</f>
        <v>-60578.829066588187</v>
      </c>
      <c r="K13" s="19">
        <f t="shared" ca="1" si="0"/>
        <v>-9813.0004263961746</v>
      </c>
      <c r="L13" s="36">
        <f t="shared" ca="1" si="1"/>
        <v>-60578.829066588187</v>
      </c>
    </row>
    <row r="14" spans="3:12">
      <c r="G14" s="35">
        <f>Simulation!E14</f>
        <v>11</v>
      </c>
      <c r="H14" s="19">
        <f ca="1">Simulation!H14</f>
        <v>92.982722647260516</v>
      </c>
      <c r="I14" s="19">
        <f>Inputs!$D$13</f>
        <v>100</v>
      </c>
      <c r="J14" s="19">
        <f ca="1">(Simulation!H14-Inputs!$D$13)/Inputs!$D$13*Inputs!$D$12</f>
        <v>-70172.773527394849</v>
      </c>
      <c r="K14" s="19">
        <f t="shared" ca="1" si="0"/>
        <v>-9593.9444608066624</v>
      </c>
      <c r="L14" s="36">
        <f t="shared" ca="1" si="1"/>
        <v>-70172.773527394849</v>
      </c>
    </row>
    <row r="15" spans="3:12">
      <c r="G15" s="35">
        <f>Simulation!E15</f>
        <v>12</v>
      </c>
      <c r="H15" s="19">
        <f ca="1">Simulation!H15</f>
        <v>95.06272647895382</v>
      </c>
      <c r="I15" s="19">
        <f>Inputs!$D$13</f>
        <v>100</v>
      </c>
      <c r="J15" s="19">
        <f ca="1">(Simulation!H15-Inputs!$D$13)/Inputs!$D$13*Inputs!$D$12</f>
        <v>-49372.735210461797</v>
      </c>
      <c r="K15" s="19">
        <f t="shared" ca="1" si="0"/>
        <v>20800.038316933053</v>
      </c>
      <c r="L15" s="36">
        <f t="shared" ca="1" si="1"/>
        <v>-49372.735210461797</v>
      </c>
    </row>
    <row r="16" spans="3:12">
      <c r="G16" s="35">
        <f>Simulation!E16</f>
        <v>13</v>
      </c>
      <c r="H16" s="19">
        <f ca="1">Simulation!H16</f>
        <v>96.133252941756695</v>
      </c>
      <c r="I16" s="19">
        <f>Inputs!$D$13</f>
        <v>100</v>
      </c>
      <c r="J16" s="19">
        <f ca="1">(Simulation!H16-Inputs!$D$13)/Inputs!$D$13*Inputs!$D$12</f>
        <v>-38667.470582433052</v>
      </c>
      <c r="K16" s="19">
        <f t="shared" ca="1" si="0"/>
        <v>10705.264628028744</v>
      </c>
      <c r="L16" s="36">
        <f t="shared" ca="1" si="1"/>
        <v>-38667.470582433052</v>
      </c>
    </row>
    <row r="17" spans="7:12">
      <c r="G17" s="35">
        <f>Simulation!E17</f>
        <v>14</v>
      </c>
      <c r="H17" s="19">
        <f ca="1">Simulation!H17</f>
        <v>96.905020690917553</v>
      </c>
      <c r="I17" s="19">
        <f>Inputs!$D$13</f>
        <v>100</v>
      </c>
      <c r="J17" s="19">
        <f ca="1">(Simulation!H17-Inputs!$D$13)/Inputs!$D$13*Inputs!$D$12</f>
        <v>-30949.793090824474</v>
      </c>
      <c r="K17" s="19">
        <f t="shared" ca="1" si="0"/>
        <v>7717.6774916085778</v>
      </c>
      <c r="L17" s="36">
        <f t="shared" ca="1" si="1"/>
        <v>-30949.793090824474</v>
      </c>
    </row>
    <row r="18" spans="7:12">
      <c r="G18" s="35">
        <f>Simulation!E18</f>
        <v>15</v>
      </c>
      <c r="H18" s="19">
        <f ca="1">Simulation!H18</f>
        <v>95.71990548909794</v>
      </c>
      <c r="I18" s="19">
        <f>Inputs!$D$13</f>
        <v>100</v>
      </c>
      <c r="J18" s="19">
        <f ca="1">(Simulation!H18-Inputs!$D$13)/Inputs!$D$13*Inputs!$D$12</f>
        <v>-42800.945109020606</v>
      </c>
      <c r="K18" s="19">
        <f t="shared" ca="1" si="0"/>
        <v>-11851.152018196131</v>
      </c>
      <c r="L18" s="36">
        <f t="shared" ca="1" si="1"/>
        <v>-42800.945109020606</v>
      </c>
    </row>
    <row r="19" spans="7:12">
      <c r="G19" s="35">
        <f>Simulation!E19</f>
        <v>16</v>
      </c>
      <c r="H19" s="19">
        <f ca="1">Simulation!H19</f>
        <v>96.613429722058683</v>
      </c>
      <c r="I19" s="19">
        <f>Inputs!$D$13</f>
        <v>100</v>
      </c>
      <c r="J19" s="19">
        <f ca="1">(Simulation!H19-Inputs!$D$13)/Inputs!$D$13*Inputs!$D$12</f>
        <v>-33865.702779413172</v>
      </c>
      <c r="K19" s="19">
        <f t="shared" ca="1" si="0"/>
        <v>8935.2423296074339</v>
      </c>
      <c r="L19" s="36">
        <f t="shared" ca="1" si="1"/>
        <v>-33865.702779413172</v>
      </c>
    </row>
    <row r="20" spans="7:12">
      <c r="G20" s="35">
        <f>Simulation!E20</f>
        <v>17</v>
      </c>
      <c r="H20" s="19">
        <f ca="1">Simulation!H20</f>
        <v>94.516059522581813</v>
      </c>
      <c r="I20" s="19">
        <f>Inputs!$D$13</f>
        <v>100</v>
      </c>
      <c r="J20" s="19">
        <f ca="1">(Simulation!H20-Inputs!$D$13)/Inputs!$D$13*Inputs!$D$12</f>
        <v>-54839.404774181872</v>
      </c>
      <c r="K20" s="19">
        <f t="shared" ca="1" si="0"/>
        <v>-20973.7019947687</v>
      </c>
      <c r="L20" s="36">
        <f t="shared" ca="1" si="1"/>
        <v>-54839.404774181872</v>
      </c>
    </row>
    <row r="21" spans="7:12">
      <c r="G21" s="35">
        <f>Simulation!E21</f>
        <v>18</v>
      </c>
      <c r="H21" s="19">
        <f ca="1">Simulation!H21</f>
        <v>96.088206222126374</v>
      </c>
      <c r="I21" s="19">
        <f>Inputs!$D$13</f>
        <v>100</v>
      </c>
      <c r="J21" s="19">
        <f ca="1">(Simulation!H21-Inputs!$D$13)/Inputs!$D$13*Inputs!$D$12</f>
        <v>-39117.937778736261</v>
      </c>
      <c r="K21" s="19">
        <f t="shared" ca="1" si="0"/>
        <v>15721.466995445611</v>
      </c>
      <c r="L21" s="36">
        <f t="shared" ca="1" si="1"/>
        <v>-39117.937778736261</v>
      </c>
    </row>
    <row r="22" spans="7:12">
      <c r="G22" s="35">
        <f>Simulation!E22</f>
        <v>19</v>
      </c>
      <c r="H22" s="19">
        <f ca="1">Simulation!H22</f>
        <v>98.20295463425019</v>
      </c>
      <c r="I22" s="19">
        <f>Inputs!$D$13</f>
        <v>100</v>
      </c>
      <c r="J22" s="19">
        <f ca="1">(Simulation!H22-Inputs!$D$13)/Inputs!$D$13*Inputs!$D$12</f>
        <v>-17970.453657498099</v>
      </c>
      <c r="K22" s="19">
        <f t="shared" ca="1" si="0"/>
        <v>21147.484121238162</v>
      </c>
      <c r="L22" s="36">
        <f t="shared" ca="1" si="1"/>
        <v>-17970.453657498099</v>
      </c>
    </row>
    <row r="23" spans="7:12">
      <c r="G23" s="35">
        <f>Simulation!E23</f>
        <v>20</v>
      </c>
      <c r="H23" s="19">
        <f ca="1">Simulation!H23</f>
        <v>99.299054280932367</v>
      </c>
      <c r="I23" s="19">
        <f>Inputs!$D$13</f>
        <v>100</v>
      </c>
      <c r="J23" s="19">
        <f ca="1">(Simulation!H23-Inputs!$D$13)/Inputs!$D$13*Inputs!$D$12</f>
        <v>-7009.4571906763294</v>
      </c>
      <c r="K23" s="19">
        <f t="shared" ca="1" si="0"/>
        <v>10960.996466821769</v>
      </c>
      <c r="L23" s="36">
        <f t="shared" ca="1" si="1"/>
        <v>-7009.4571906763304</v>
      </c>
    </row>
    <row r="24" spans="7:12">
      <c r="G24" s="35">
        <f>Simulation!E24</f>
        <v>21</v>
      </c>
      <c r="H24" s="19">
        <f ca="1">Simulation!H24</f>
        <v>103.66674208414645</v>
      </c>
      <c r="I24" s="19">
        <f>Inputs!$D$13</f>
        <v>100</v>
      </c>
      <c r="J24" s="19">
        <f ca="1">(Simulation!H24-Inputs!$D$13)/Inputs!$D$13*Inputs!$D$12</f>
        <v>36667.420841464489</v>
      </c>
      <c r="K24" s="19">
        <f t="shared" ca="1" si="0"/>
        <v>43676.878032140819</v>
      </c>
      <c r="L24" s="36">
        <f t="shared" ca="1" si="1"/>
        <v>36667.420841464489</v>
      </c>
    </row>
    <row r="25" spans="7:12">
      <c r="G25" s="35">
        <f>Simulation!E25</f>
        <v>22</v>
      </c>
      <c r="H25" s="19">
        <f ca="1">Simulation!H25</f>
        <v>102.23188373411297</v>
      </c>
      <c r="I25" s="19">
        <f>Inputs!$D$13</f>
        <v>100</v>
      </c>
      <c r="J25" s="19">
        <f ca="1">(Simulation!H25-Inputs!$D$13)/Inputs!$D$13*Inputs!$D$12</f>
        <v>22318.837341129696</v>
      </c>
      <c r="K25" s="19">
        <f t="shared" ca="1" si="0"/>
        <v>-14348.583500334793</v>
      </c>
      <c r="L25" s="36">
        <f t="shared" ca="1" si="1"/>
        <v>22318.837341129696</v>
      </c>
    </row>
    <row r="26" spans="7:12">
      <c r="G26" s="35">
        <f>Simulation!E26</f>
        <v>23</v>
      </c>
      <c r="H26" s="19">
        <f ca="1">Simulation!H26</f>
        <v>101.84500757818472</v>
      </c>
      <c r="I26" s="19">
        <f>Inputs!$D$13</f>
        <v>100</v>
      </c>
      <c r="J26" s="19">
        <f ca="1">(Simulation!H26-Inputs!$D$13)/Inputs!$D$13*Inputs!$D$12</f>
        <v>18450.075781847205</v>
      </c>
      <c r="K26" s="19">
        <f t="shared" ca="1" si="0"/>
        <v>-3868.7615592824914</v>
      </c>
      <c r="L26" s="36">
        <f t="shared" ca="1" si="1"/>
        <v>18450.075781847205</v>
      </c>
    </row>
    <row r="27" spans="7:12">
      <c r="G27" s="35">
        <f>Simulation!E27</f>
        <v>24</v>
      </c>
      <c r="H27" s="19">
        <f ca="1">Simulation!H27</f>
        <v>101.70258864523414</v>
      </c>
      <c r="I27" s="19">
        <f>Inputs!$D$13</f>
        <v>100</v>
      </c>
      <c r="J27" s="19">
        <f ca="1">(Simulation!H27-Inputs!$D$13)/Inputs!$D$13*Inputs!$D$12</f>
        <v>17025.886452341438</v>
      </c>
      <c r="K27" s="19">
        <f t="shared" ca="1" si="0"/>
        <v>-1424.1893295057671</v>
      </c>
      <c r="L27" s="36">
        <f t="shared" ca="1" si="1"/>
        <v>17025.886452341438</v>
      </c>
    </row>
    <row r="28" spans="7:12">
      <c r="G28" s="35">
        <f>Simulation!E28</f>
        <v>25</v>
      </c>
      <c r="H28" s="19">
        <f ca="1">Simulation!H28</f>
        <v>102.29563457214404</v>
      </c>
      <c r="I28" s="19">
        <f>Inputs!$D$13</f>
        <v>100</v>
      </c>
      <c r="J28" s="19">
        <f ca="1">(Simulation!H28-Inputs!$D$13)/Inputs!$D$13*Inputs!$D$12</f>
        <v>22956.345721440386</v>
      </c>
      <c r="K28" s="19">
        <f t="shared" ca="1" si="0"/>
        <v>5930.4592690989484</v>
      </c>
      <c r="L28" s="36">
        <f t="shared" ca="1" si="1"/>
        <v>22956.345721440386</v>
      </c>
    </row>
    <row r="29" spans="7:12">
      <c r="G29" s="35">
        <f>Simulation!E29</f>
        <v>26</v>
      </c>
      <c r="H29" s="19">
        <f ca="1">Simulation!H29</f>
        <v>100.69584682797608</v>
      </c>
      <c r="I29" s="19">
        <f>Inputs!$D$13</f>
        <v>100</v>
      </c>
      <c r="J29" s="19">
        <f ca="1">(Simulation!H29-Inputs!$D$13)/Inputs!$D$13*Inputs!$D$12</f>
        <v>6958.4682797608366</v>
      </c>
      <c r="K29" s="19">
        <f t="shared" ca="1" si="0"/>
        <v>-15997.87744167955</v>
      </c>
      <c r="L29" s="36">
        <f t="shared" ca="1" si="1"/>
        <v>6958.4682797608366</v>
      </c>
    </row>
    <row r="30" spans="7:12">
      <c r="G30" s="35">
        <f>Simulation!E30</f>
        <v>27</v>
      </c>
      <c r="H30" s="19">
        <f ca="1">Simulation!H30</f>
        <v>101.87135728444667</v>
      </c>
      <c r="I30" s="19">
        <f>Inputs!$D$13</f>
        <v>100</v>
      </c>
      <c r="J30" s="19">
        <f ca="1">(Simulation!H30-Inputs!$D$13)/Inputs!$D$13*Inputs!$D$12</f>
        <v>18713.57284446674</v>
      </c>
      <c r="K30" s="19">
        <f t="shared" ca="1" si="0"/>
        <v>11755.104564705904</v>
      </c>
      <c r="L30" s="36">
        <f t="shared" ca="1" si="1"/>
        <v>18713.57284446674</v>
      </c>
    </row>
    <row r="31" spans="7:12">
      <c r="G31" s="35">
        <f>Simulation!E31</f>
        <v>28</v>
      </c>
      <c r="H31" s="19">
        <f ca="1">Simulation!H31</f>
        <v>100.88373012526151</v>
      </c>
      <c r="I31" s="19">
        <f>Inputs!$D$13</f>
        <v>100</v>
      </c>
      <c r="J31" s="19">
        <f ca="1">(Simulation!H31-Inputs!$D$13)/Inputs!$D$13*Inputs!$D$12</f>
        <v>8837.3012526150778</v>
      </c>
      <c r="K31" s="19">
        <f t="shared" ca="1" si="0"/>
        <v>-9876.2715918516624</v>
      </c>
      <c r="L31" s="36">
        <f t="shared" ca="1" si="1"/>
        <v>8837.3012526150778</v>
      </c>
    </row>
    <row r="32" spans="7:12">
      <c r="G32" s="35">
        <f>Simulation!E32</f>
        <v>29</v>
      </c>
      <c r="H32" s="19">
        <f ca="1">Simulation!H32</f>
        <v>102.80887484614493</v>
      </c>
      <c r="I32" s="19">
        <f>Inputs!$D$13</f>
        <v>100</v>
      </c>
      <c r="J32" s="19">
        <f ca="1">(Simulation!H32-Inputs!$D$13)/Inputs!$D$13*Inputs!$D$12</f>
        <v>28088.748461449311</v>
      </c>
      <c r="K32" s="19">
        <f t="shared" ca="1" si="0"/>
        <v>19251.447208834234</v>
      </c>
      <c r="L32" s="36">
        <f t="shared" ca="1" si="1"/>
        <v>28088.748461449311</v>
      </c>
    </row>
    <row r="33" spans="7:12">
      <c r="G33" s="35">
        <f>Simulation!E33</f>
        <v>30</v>
      </c>
      <c r="H33" s="19">
        <f ca="1">Simulation!H33</f>
        <v>100.55545580950702</v>
      </c>
      <c r="I33" s="19">
        <f>Inputs!$D$13</f>
        <v>100</v>
      </c>
      <c r="J33" s="19">
        <f ca="1">(Simulation!H33-Inputs!$D$13)/Inputs!$D$13*Inputs!$D$12</f>
        <v>5554.5580950702342</v>
      </c>
      <c r="K33" s="19">
        <f t="shared" ca="1" si="0"/>
        <v>-22534.190366379076</v>
      </c>
      <c r="L33" s="36">
        <f t="shared" ca="1" si="1"/>
        <v>5554.5580950702351</v>
      </c>
    </row>
    <row r="34" spans="7:12">
      <c r="G34" s="35">
        <f>Simulation!E34</f>
        <v>31</v>
      </c>
      <c r="H34" s="19">
        <f ca="1">Simulation!H34</f>
        <v>99.870512785028723</v>
      </c>
      <c r="I34" s="19">
        <f>Inputs!$D$13</f>
        <v>100</v>
      </c>
      <c r="J34" s="19">
        <f ca="1">(Simulation!H34-Inputs!$D$13)/Inputs!$D$13*Inputs!$D$12</f>
        <v>-1294.8721497127735</v>
      </c>
      <c r="K34" s="19">
        <f t="shared" ca="1" si="0"/>
        <v>-6849.4302447830078</v>
      </c>
      <c r="L34" s="36">
        <f t="shared" ca="1" si="1"/>
        <v>-1294.8721497127726</v>
      </c>
    </row>
    <row r="35" spans="7:12">
      <c r="G35" s="35">
        <f>Simulation!E35</f>
        <v>32</v>
      </c>
      <c r="H35" s="19">
        <f ca="1">Simulation!H35</f>
        <v>103.28848971253423</v>
      </c>
      <c r="I35" s="19">
        <f>Inputs!$D$13</f>
        <v>100</v>
      </c>
      <c r="J35" s="19">
        <f ca="1">(Simulation!H35-Inputs!$D$13)/Inputs!$D$13*Inputs!$D$12</f>
        <v>32884.897125342286</v>
      </c>
      <c r="K35" s="19">
        <f t="shared" ca="1" si="0"/>
        <v>34179.769275055063</v>
      </c>
      <c r="L35" s="36">
        <f t="shared" ca="1" si="1"/>
        <v>32884.897125342293</v>
      </c>
    </row>
    <row r="36" spans="7:12">
      <c r="G36" s="35">
        <f>Simulation!E36</f>
        <v>33</v>
      </c>
      <c r="H36" s="19">
        <f ca="1">Simulation!H36</f>
        <v>103.13975117262962</v>
      </c>
      <c r="I36" s="19">
        <f>Inputs!$D$13</f>
        <v>100</v>
      </c>
      <c r="J36" s="19">
        <f ca="1">(Simulation!H36-Inputs!$D$13)/Inputs!$D$13*Inputs!$D$12</f>
        <v>31397.511726296158</v>
      </c>
      <c r="K36" s="19">
        <f t="shared" ca="1" si="0"/>
        <v>-1487.3853990461284</v>
      </c>
      <c r="L36" s="36">
        <f t="shared" ca="1" si="1"/>
        <v>31397.511726296165</v>
      </c>
    </row>
    <row r="37" spans="7:12">
      <c r="G37" s="35">
        <f>Simulation!E37</f>
        <v>34</v>
      </c>
      <c r="H37" s="19">
        <f ca="1">Simulation!H37</f>
        <v>105.20961183536714</v>
      </c>
      <c r="I37" s="19">
        <f>Inputs!$D$13</f>
        <v>100</v>
      </c>
      <c r="J37" s="19">
        <f ca="1">(Simulation!H37-Inputs!$D$13)/Inputs!$D$13*Inputs!$D$12</f>
        <v>52096.118353671416</v>
      </c>
      <c r="K37" s="19">
        <f t="shared" ca="1" si="0"/>
        <v>20698.606627375259</v>
      </c>
      <c r="L37" s="36">
        <f t="shared" ca="1" si="1"/>
        <v>52096.118353671423</v>
      </c>
    </row>
    <row r="38" spans="7:12">
      <c r="G38" s="35">
        <f>Simulation!E38</f>
        <v>35</v>
      </c>
      <c r="H38" s="19">
        <f ca="1">Simulation!H38</f>
        <v>107.70029140588296</v>
      </c>
      <c r="I38" s="19">
        <f>Inputs!$D$13</f>
        <v>100</v>
      </c>
      <c r="J38" s="19">
        <f ca="1">(Simulation!H38-Inputs!$D$13)/Inputs!$D$13*Inputs!$D$12</f>
        <v>77002.914058829643</v>
      </c>
      <c r="K38" s="19">
        <f t="shared" ca="1" si="0"/>
        <v>24906.795705158227</v>
      </c>
      <c r="L38" s="36">
        <f t="shared" ca="1" si="1"/>
        <v>77002.914058829658</v>
      </c>
    </row>
    <row r="39" spans="7:12">
      <c r="G39" s="35">
        <f>Simulation!E39</f>
        <v>36</v>
      </c>
      <c r="H39" s="19">
        <f ca="1">Simulation!H39</f>
        <v>108.778391721852</v>
      </c>
      <c r="I39" s="19">
        <f>Inputs!$D$13</f>
        <v>100</v>
      </c>
      <c r="J39" s="19">
        <f ca="1">(Simulation!H39-Inputs!$D$13)/Inputs!$D$13*Inputs!$D$12</f>
        <v>87783.91721852003</v>
      </c>
      <c r="K39" s="19">
        <f t="shared" ca="1" si="0"/>
        <v>10781.003159690386</v>
      </c>
      <c r="L39" s="36">
        <f t="shared" ca="1" si="1"/>
        <v>87783.917218520044</v>
      </c>
    </row>
    <row r="40" spans="7:12">
      <c r="G40" s="35">
        <f>Simulation!E40</f>
        <v>37</v>
      </c>
      <c r="H40" s="19">
        <f ca="1">Simulation!H40</f>
        <v>109.55012712374719</v>
      </c>
      <c r="I40" s="19">
        <f>Inputs!$D$13</f>
        <v>100</v>
      </c>
      <c r="J40" s="19">
        <f ca="1">(Simulation!H40-Inputs!$D$13)/Inputs!$D$13*Inputs!$D$12</f>
        <v>95501.271237471883</v>
      </c>
      <c r="K40" s="19">
        <f t="shared" ca="1" si="0"/>
        <v>7717.3540189518535</v>
      </c>
      <c r="L40" s="36">
        <f t="shared" ca="1" si="1"/>
        <v>95501.271237471898</v>
      </c>
    </row>
    <row r="41" spans="7:12">
      <c r="G41" s="35">
        <f>Simulation!E41</f>
        <v>38</v>
      </c>
      <c r="H41" s="19">
        <f ca="1">Simulation!H41</f>
        <v>108.37503552325887</v>
      </c>
      <c r="I41" s="19">
        <f>Inputs!$D$13</f>
        <v>100</v>
      </c>
      <c r="J41" s="19">
        <f ca="1">(Simulation!H41-Inputs!$D$13)/Inputs!$D$13*Inputs!$D$12</f>
        <v>83750.355232588729</v>
      </c>
      <c r="K41" s="19">
        <f t="shared" ca="1" si="0"/>
        <v>-11750.916004883155</v>
      </c>
      <c r="L41" s="36">
        <f t="shared" ca="1" si="1"/>
        <v>83750.355232588743</v>
      </c>
    </row>
    <row r="42" spans="7:12">
      <c r="G42" s="35">
        <f>Simulation!E42</f>
        <v>39</v>
      </c>
      <c r="H42" s="19">
        <f ca="1">Simulation!H42</f>
        <v>109.87421932085826</v>
      </c>
      <c r="I42" s="19">
        <f>Inputs!$D$13</f>
        <v>100</v>
      </c>
      <c r="J42" s="19">
        <f ca="1">(Simulation!H42-Inputs!$D$13)/Inputs!$D$13*Inputs!$D$12</f>
        <v>98742.193208582583</v>
      </c>
      <c r="K42" s="19">
        <f t="shared" ca="1" si="0"/>
        <v>14991.837975993854</v>
      </c>
      <c r="L42" s="36">
        <f t="shared" ca="1" si="1"/>
        <v>98742.193208582597</v>
      </c>
    </row>
    <row r="43" spans="7:12">
      <c r="G43" s="35">
        <f>Simulation!E43</f>
        <v>40</v>
      </c>
      <c r="H43" s="19">
        <f ca="1">Simulation!H43</f>
        <v>106.73105205905806</v>
      </c>
      <c r="I43" s="19">
        <f>Inputs!$D$13</f>
        <v>100</v>
      </c>
      <c r="J43" s="19">
        <f ca="1">(Simulation!H43-Inputs!$D$13)/Inputs!$D$13*Inputs!$D$12</f>
        <v>67310.520590580578</v>
      </c>
      <c r="K43" s="19">
        <f t="shared" ca="1" si="0"/>
        <v>-31431.672618002005</v>
      </c>
      <c r="L43" s="36">
        <f t="shared" ca="1" si="1"/>
        <v>67310.520590580592</v>
      </c>
    </row>
    <row r="44" spans="7:12">
      <c r="G44" s="35">
        <f>Simulation!E44</f>
        <v>41</v>
      </c>
      <c r="H44" s="19">
        <f ca="1">Simulation!H44</f>
        <v>106.94265953217294</v>
      </c>
      <c r="I44" s="19">
        <f>Inputs!$D$13</f>
        <v>100</v>
      </c>
      <c r="J44" s="19">
        <f ca="1">(Simulation!H44-Inputs!$D$13)/Inputs!$D$13*Inputs!$D$12</f>
        <v>69426.595321729401</v>
      </c>
      <c r="K44" s="19">
        <f t="shared" ca="1" si="0"/>
        <v>2116.074731148823</v>
      </c>
      <c r="L44" s="36">
        <f t="shared" ca="1" si="1"/>
        <v>69426.595321729415</v>
      </c>
    </row>
    <row r="45" spans="7:12">
      <c r="G45" s="35">
        <f>Simulation!E45</f>
        <v>42</v>
      </c>
      <c r="H45" s="19">
        <f ca="1">Simulation!H45</f>
        <v>108.06533054966134</v>
      </c>
      <c r="I45" s="19">
        <f>Inputs!$D$13</f>
        <v>100</v>
      </c>
      <c r="J45" s="19">
        <f ca="1">(Simulation!H45-Inputs!$D$13)/Inputs!$D$13*Inputs!$D$12</f>
        <v>80653.305496613393</v>
      </c>
      <c r="K45" s="19">
        <f t="shared" ca="1" si="0"/>
        <v>11226.710174883992</v>
      </c>
      <c r="L45" s="36">
        <f t="shared" ca="1" si="1"/>
        <v>80653.305496613408</v>
      </c>
    </row>
    <row r="46" spans="7:12">
      <c r="G46" s="35">
        <f>Simulation!E46</f>
        <v>43</v>
      </c>
      <c r="H46" s="19">
        <f ca="1">Simulation!H46</f>
        <v>105.26620974091489</v>
      </c>
      <c r="I46" s="19">
        <f>Inputs!$D$13</f>
        <v>100</v>
      </c>
      <c r="J46" s="19">
        <f ca="1">(Simulation!H46-Inputs!$D$13)/Inputs!$D$13*Inputs!$D$12</f>
        <v>52662.09740914889</v>
      </c>
      <c r="K46" s="19">
        <f t="shared" ca="1" si="0"/>
        <v>-27991.208087464503</v>
      </c>
      <c r="L46" s="36">
        <f t="shared" ca="1" si="1"/>
        <v>52662.097409148904</v>
      </c>
    </row>
    <row r="47" spans="7:12">
      <c r="G47" s="35">
        <f>Simulation!E47</f>
        <v>44</v>
      </c>
      <c r="H47" s="19">
        <f ca="1">Simulation!H47</f>
        <v>103.92223340344043</v>
      </c>
      <c r="I47" s="19">
        <f>Inputs!$D$13</f>
        <v>100</v>
      </c>
      <c r="J47" s="19">
        <f ca="1">(Simulation!H47-Inputs!$D$13)/Inputs!$D$13*Inputs!$D$12</f>
        <v>39222.334034404295</v>
      </c>
      <c r="K47" s="19">
        <f t="shared" ca="1" si="0"/>
        <v>-13439.763374744594</v>
      </c>
      <c r="L47" s="36">
        <f t="shared" ca="1" si="1"/>
        <v>39222.33403440431</v>
      </c>
    </row>
    <row r="48" spans="7:12">
      <c r="G48" s="35">
        <f>Simulation!E48</f>
        <v>45</v>
      </c>
      <c r="H48" s="19">
        <f ca="1">Simulation!H48</f>
        <v>106.60248709564458</v>
      </c>
      <c r="I48" s="19">
        <f>Inputs!$D$13</f>
        <v>100</v>
      </c>
      <c r="J48" s="19">
        <f ca="1">(Simulation!H48-Inputs!$D$13)/Inputs!$D$13*Inputs!$D$12</f>
        <v>66024.870956445768</v>
      </c>
      <c r="K48" s="19">
        <f t="shared" ca="1" si="0"/>
        <v>26802.536922041472</v>
      </c>
      <c r="L48" s="36">
        <f t="shared" ca="1" si="1"/>
        <v>66024.870956445782</v>
      </c>
    </row>
    <row r="49" spans="7:12">
      <c r="G49" s="35">
        <f>Simulation!E49</f>
        <v>46</v>
      </c>
      <c r="H49" s="19">
        <f ca="1">Simulation!H49</f>
        <v>105.09007364349229</v>
      </c>
      <c r="I49" s="19">
        <f>Inputs!$D$13</f>
        <v>100</v>
      </c>
      <c r="J49" s="19">
        <f ca="1">(Simulation!H49-Inputs!$D$13)/Inputs!$D$13*Inputs!$D$12</f>
        <v>50900.736434922888</v>
      </c>
      <c r="K49" s="19">
        <f t="shared" ca="1" si="0"/>
        <v>-15124.134521522879</v>
      </c>
      <c r="L49" s="36">
        <f t="shared" ca="1" si="1"/>
        <v>50900.736434922903</v>
      </c>
    </row>
    <row r="50" spans="7:12">
      <c r="G50" s="35">
        <f>Simulation!E50</f>
        <v>47</v>
      </c>
      <c r="H50" s="19">
        <f ca="1">Simulation!H50</f>
        <v>104.39891128131768</v>
      </c>
      <c r="I50" s="19">
        <f>Inputs!$D$13</f>
        <v>100</v>
      </c>
      <c r="J50" s="19">
        <f ca="1">(Simulation!H50-Inputs!$D$13)/Inputs!$D$13*Inputs!$D$12</f>
        <v>43989.112813176798</v>
      </c>
      <c r="K50" s="19">
        <f t="shared" ca="1" si="0"/>
        <v>-6911.6236217460901</v>
      </c>
      <c r="L50" s="36">
        <f t="shared" ca="1" si="1"/>
        <v>43989.112813176813</v>
      </c>
    </row>
    <row r="51" spans="7:12">
      <c r="G51" s="35">
        <f>Simulation!E51</f>
        <v>48</v>
      </c>
      <c r="H51" s="19">
        <f ca="1">Simulation!H51</f>
        <v>101.76954380399039</v>
      </c>
      <c r="I51" s="19">
        <f>Inputs!$D$13</f>
        <v>100</v>
      </c>
      <c r="J51" s="19">
        <f ca="1">(Simulation!H51-Inputs!$D$13)/Inputs!$D$13*Inputs!$D$12</f>
        <v>17695.438039903875</v>
      </c>
      <c r="K51" s="19">
        <f t="shared" ca="1" si="0"/>
        <v>-26293.674773272924</v>
      </c>
      <c r="L51" s="36">
        <f t="shared" ca="1" si="1"/>
        <v>17695.438039903889</v>
      </c>
    </row>
    <row r="52" spans="7:12">
      <c r="G52" s="35">
        <f>Simulation!E52</f>
        <v>49</v>
      </c>
      <c r="H52" s="19">
        <f ca="1">Simulation!H52</f>
        <v>99.970657817396614</v>
      </c>
      <c r="I52" s="19">
        <f>Inputs!$D$13</f>
        <v>100</v>
      </c>
      <c r="J52" s="19">
        <f ca="1">(Simulation!H52-Inputs!$D$13)/Inputs!$D$13*Inputs!$D$12</f>
        <v>-293.42182603386391</v>
      </c>
      <c r="K52" s="19">
        <f t="shared" ca="1" si="0"/>
        <v>-17988.859865937739</v>
      </c>
      <c r="L52" s="36">
        <f t="shared" ca="1" si="1"/>
        <v>-293.42182603384936</v>
      </c>
    </row>
    <row r="53" spans="7:12">
      <c r="G53" s="35">
        <f>Simulation!E53</f>
        <v>50</v>
      </c>
      <c r="H53" s="19">
        <f ca="1">Simulation!H53</f>
        <v>100.79052599184125</v>
      </c>
      <c r="I53" s="19">
        <f>Inputs!$D$13</f>
        <v>100</v>
      </c>
      <c r="J53" s="19">
        <f ca="1">(Simulation!H53-Inputs!$D$13)/Inputs!$D$13*Inputs!$D$12</f>
        <v>7905.2599184124965</v>
      </c>
      <c r="K53" s="19">
        <f t="shared" ca="1" si="0"/>
        <v>8198.6817444463595</v>
      </c>
      <c r="L53" s="36">
        <f t="shared" ca="1" si="1"/>
        <v>7905.2599184125102</v>
      </c>
    </row>
    <row r="54" spans="7:12">
      <c r="G54" s="35">
        <f>Simulation!E54</f>
        <v>51</v>
      </c>
      <c r="H54" s="19">
        <f ca="1">Simulation!H54</f>
        <v>99.678886258015382</v>
      </c>
      <c r="I54" s="19">
        <f>Inputs!$D$13</f>
        <v>100</v>
      </c>
      <c r="J54" s="19">
        <f ca="1">(Simulation!H54-Inputs!$D$13)/Inputs!$D$13*Inputs!$D$12</f>
        <v>-3211.1374198461817</v>
      </c>
      <c r="K54" s="19">
        <f t="shared" ca="1" si="0"/>
        <v>-11116.397338258677</v>
      </c>
      <c r="L54" s="36">
        <f t="shared" ca="1" si="1"/>
        <v>-3211.1374198461672</v>
      </c>
    </row>
    <row r="55" spans="7:12">
      <c r="G55" s="35">
        <f>Simulation!E55</f>
        <v>52</v>
      </c>
      <c r="H55" s="19">
        <f ca="1">Simulation!H55</f>
        <v>101.60825257022458</v>
      </c>
      <c r="I55" s="19">
        <f>Inputs!$D$13</f>
        <v>100</v>
      </c>
      <c r="J55" s="19">
        <f ca="1">(Simulation!H55-Inputs!$D$13)/Inputs!$D$13*Inputs!$D$12</f>
        <v>16082.52570224579</v>
      </c>
      <c r="K55" s="19">
        <f t="shared" ca="1" si="0"/>
        <v>19293.663122091973</v>
      </c>
      <c r="L55" s="36">
        <f t="shared" ca="1" si="1"/>
        <v>16082.525702245806</v>
      </c>
    </row>
    <row r="56" spans="7:12">
      <c r="G56" s="35">
        <f>Simulation!E56</f>
        <v>53</v>
      </c>
      <c r="H56" s="19">
        <f ca="1">Simulation!H56</f>
        <v>102.23671973869038</v>
      </c>
      <c r="I56" s="19">
        <f>Inputs!$D$13</f>
        <v>100</v>
      </c>
      <c r="J56" s="19">
        <f ca="1">(Simulation!H56-Inputs!$D$13)/Inputs!$D$13*Inputs!$D$12</f>
        <v>22367.197386903827</v>
      </c>
      <c r="K56" s="19">
        <f t="shared" ca="1" si="0"/>
        <v>6284.6716846580366</v>
      </c>
      <c r="L56" s="36">
        <f t="shared" ca="1" si="1"/>
        <v>22367.197386903841</v>
      </c>
    </row>
    <row r="57" spans="7:12">
      <c r="G57" s="35">
        <f>Simulation!E57</f>
        <v>54</v>
      </c>
      <c r="H57" s="19">
        <f ca="1">Simulation!H57</f>
        <v>101.41542050899432</v>
      </c>
      <c r="I57" s="19">
        <f>Inputs!$D$13</f>
        <v>100</v>
      </c>
      <c r="J57" s="19">
        <f ca="1">(Simulation!H57-Inputs!$D$13)/Inputs!$D$13*Inputs!$D$12</f>
        <v>14154.205089943162</v>
      </c>
      <c r="K57" s="19">
        <f t="shared" ca="1" si="0"/>
        <v>-8212.992296960665</v>
      </c>
      <c r="L57" s="36">
        <f t="shared" ca="1" si="1"/>
        <v>14154.205089943176</v>
      </c>
    </row>
    <row r="58" spans="7:12">
      <c r="G58" s="35">
        <f>Simulation!E58</f>
        <v>55</v>
      </c>
      <c r="H58" s="19">
        <f ca="1">Simulation!H58</f>
        <v>101.70019426059871</v>
      </c>
      <c r="I58" s="19">
        <f>Inputs!$D$13</f>
        <v>100</v>
      </c>
      <c r="J58" s="19">
        <f ca="1">(Simulation!H58-Inputs!$D$13)/Inputs!$D$13*Inputs!$D$12</f>
        <v>17001.942605987068</v>
      </c>
      <c r="K58" s="19">
        <f t="shared" ca="1" si="0"/>
        <v>2847.737516043906</v>
      </c>
      <c r="L58" s="36">
        <f t="shared" ca="1" si="1"/>
        <v>17001.942605987082</v>
      </c>
    </row>
    <row r="59" spans="7:12">
      <c r="G59" s="35">
        <f>Simulation!E59</f>
        <v>56</v>
      </c>
      <c r="H59" s="19">
        <f ca="1">Simulation!H59</f>
        <v>101.47133129956846</v>
      </c>
      <c r="I59" s="19">
        <f>Inputs!$D$13</f>
        <v>100</v>
      </c>
      <c r="J59" s="19">
        <f ca="1">(Simulation!H59-Inputs!$D$13)/Inputs!$D$13*Inputs!$D$12</f>
        <v>14713.312995684617</v>
      </c>
      <c r="K59" s="19">
        <f t="shared" ca="1" si="0"/>
        <v>-2288.6296103024506</v>
      </c>
      <c r="L59" s="36">
        <f t="shared" ca="1" si="1"/>
        <v>14713.312995684631</v>
      </c>
    </row>
    <row r="60" spans="7:12">
      <c r="G60" s="35">
        <f>Simulation!E60</f>
        <v>57</v>
      </c>
      <c r="H60" s="19">
        <f ca="1">Simulation!H60</f>
        <v>102.36721088538168</v>
      </c>
      <c r="I60" s="19">
        <f>Inputs!$D$13</f>
        <v>100</v>
      </c>
      <c r="J60" s="19">
        <f ca="1">(Simulation!H60-Inputs!$D$13)/Inputs!$D$13*Inputs!$D$12</f>
        <v>23672.108853816811</v>
      </c>
      <c r="K60" s="19">
        <f t="shared" ca="1" si="0"/>
        <v>8958.7958581321946</v>
      </c>
      <c r="L60" s="36">
        <f t="shared" ca="1" si="1"/>
        <v>23672.108853816826</v>
      </c>
    </row>
    <row r="61" spans="7:12">
      <c r="G61" s="35">
        <f>Simulation!E61</f>
        <v>58</v>
      </c>
      <c r="H61" s="19">
        <f ca="1">Simulation!H61</f>
        <v>101.01849998057611</v>
      </c>
      <c r="I61" s="19">
        <f>Inputs!$D$13</f>
        <v>100</v>
      </c>
      <c r="J61" s="19">
        <f ca="1">(Simulation!H61-Inputs!$D$13)/Inputs!$D$13*Inputs!$D$12</f>
        <v>10184.999805761096</v>
      </c>
      <c r="K61" s="19">
        <f t="shared" ca="1" si="0"/>
        <v>-13487.109048055716</v>
      </c>
      <c r="L61" s="36">
        <f t="shared" ca="1" si="1"/>
        <v>10184.99980576111</v>
      </c>
    </row>
    <row r="62" spans="7:12">
      <c r="G62" s="35">
        <f>Simulation!E62</f>
        <v>59</v>
      </c>
      <c r="H62" s="19">
        <f ca="1">Simulation!H62</f>
        <v>100.64072014733195</v>
      </c>
      <c r="I62" s="19">
        <f>Inputs!$D$13</f>
        <v>100</v>
      </c>
      <c r="J62" s="19">
        <f ca="1">(Simulation!H62-Inputs!$D$13)/Inputs!$D$13*Inputs!$D$12</f>
        <v>6407.2014733194756</v>
      </c>
      <c r="K62" s="19">
        <f t="shared" ca="1" si="0"/>
        <v>-3777.79833244162</v>
      </c>
      <c r="L62" s="36">
        <f t="shared" ca="1" si="1"/>
        <v>6407.2014733194901</v>
      </c>
    </row>
    <row r="63" spans="7:12">
      <c r="G63" s="35">
        <f>Simulation!E63</f>
        <v>60</v>
      </c>
      <c r="H63" s="19">
        <f ca="1">Simulation!H63</f>
        <v>100.5499466090774</v>
      </c>
      <c r="I63" s="19">
        <f>Inputs!$D$13</f>
        <v>100</v>
      </c>
      <c r="J63" s="19">
        <f ca="1">(Simulation!H63-Inputs!$D$13)/Inputs!$D$13*Inputs!$D$12</f>
        <v>5499.4660907739499</v>
      </c>
      <c r="K63" s="19">
        <f t="shared" ca="1" si="0"/>
        <v>-907.73538254552568</v>
      </c>
      <c r="L63" s="36">
        <f t="shared" ca="1" si="1"/>
        <v>5499.4660907739644</v>
      </c>
    </row>
    <row r="64" spans="7:12">
      <c r="G64" s="35">
        <f>Simulation!E64</f>
        <v>61</v>
      </c>
      <c r="H64" s="19">
        <f ca="1">Simulation!H64</f>
        <v>100.67590999320159</v>
      </c>
      <c r="I64" s="19">
        <f>Inputs!$D$13</f>
        <v>100</v>
      </c>
      <c r="J64" s="19">
        <f ca="1">(Simulation!H64-Inputs!$D$13)/Inputs!$D$13*Inputs!$D$12</f>
        <v>6759.0999320158571</v>
      </c>
      <c r="K64" s="19">
        <f t="shared" ca="1" si="0"/>
        <v>1259.6338412419072</v>
      </c>
      <c r="L64" s="36">
        <f t="shared" ca="1" si="1"/>
        <v>6759.0999320158717</v>
      </c>
    </row>
    <row r="65" spans="7:12">
      <c r="G65" s="35">
        <f>Simulation!E65</f>
        <v>62</v>
      </c>
      <c r="H65" s="19">
        <f ca="1">Simulation!H65</f>
        <v>101.15677487214759</v>
      </c>
      <c r="I65" s="19">
        <f>Inputs!$D$13</f>
        <v>100</v>
      </c>
      <c r="J65" s="19">
        <f ca="1">(Simulation!H65-Inputs!$D$13)/Inputs!$D$13*Inputs!$D$12</f>
        <v>11567.748721475937</v>
      </c>
      <c r="K65" s="19">
        <f t="shared" ca="1" si="0"/>
        <v>4808.6487894600796</v>
      </c>
      <c r="L65" s="36">
        <f t="shared" ca="1" si="1"/>
        <v>11567.748721475951</v>
      </c>
    </row>
    <row r="66" spans="7:12">
      <c r="G66" s="35">
        <f>Simulation!E66</f>
        <v>63</v>
      </c>
      <c r="H66" s="19">
        <f ca="1">Simulation!H66</f>
        <v>102.10337833450943</v>
      </c>
      <c r="I66" s="19">
        <f>Inputs!$D$13</f>
        <v>100</v>
      </c>
      <c r="J66" s="19">
        <f ca="1">(Simulation!H66-Inputs!$D$13)/Inputs!$D$13*Inputs!$D$12</f>
        <v>21033.783345094293</v>
      </c>
      <c r="K66" s="19">
        <f t="shared" ca="1" si="0"/>
        <v>9466.0346236183559</v>
      </c>
      <c r="L66" s="36">
        <f t="shared" ca="1" si="1"/>
        <v>21033.783345094307</v>
      </c>
    </row>
    <row r="67" spans="7:12">
      <c r="G67" s="35">
        <f>Simulation!E67</f>
        <v>64</v>
      </c>
      <c r="H67" s="19">
        <f ca="1">Simulation!H67</f>
        <v>101.35335898953214</v>
      </c>
      <c r="I67" s="19">
        <f>Inputs!$D$13</f>
        <v>100</v>
      </c>
      <c r="J67" s="19">
        <f ca="1">(Simulation!H67-Inputs!$D$13)/Inputs!$D$13*Inputs!$D$12</f>
        <v>13533.589895321398</v>
      </c>
      <c r="K67" s="19">
        <f t="shared" ca="1" si="0"/>
        <v>-7500.1934497728944</v>
      </c>
      <c r="L67" s="36">
        <f t="shared" ca="1" si="1"/>
        <v>13533.589895321413</v>
      </c>
    </row>
    <row r="68" spans="7:12">
      <c r="G68" s="35">
        <f>Simulation!E68</f>
        <v>65</v>
      </c>
      <c r="H68" s="19">
        <f ca="1">Simulation!H68</f>
        <v>101.44762552016297</v>
      </c>
      <c r="I68" s="19">
        <f>Inputs!$D$13</f>
        <v>100</v>
      </c>
      <c r="J68" s="19">
        <f ca="1">(Simulation!H68-Inputs!$D$13)/Inputs!$D$13*Inputs!$D$12</f>
        <v>14476.255201629727</v>
      </c>
      <c r="K68" s="19">
        <f t="shared" ca="1" si="0"/>
        <v>942.66530630832858</v>
      </c>
      <c r="L68" s="36">
        <f t="shared" ca="1" si="1"/>
        <v>14476.255201629741</v>
      </c>
    </row>
    <row r="69" spans="7:12">
      <c r="G69" s="35">
        <f>Simulation!E69</f>
        <v>66</v>
      </c>
      <c r="H69" s="19">
        <f ca="1">Simulation!H69</f>
        <v>102.52529517613465</v>
      </c>
      <c r="I69" s="19">
        <f>Inputs!$D$13</f>
        <v>100</v>
      </c>
      <c r="J69" s="19">
        <f ca="1">(Simulation!H69-Inputs!$D$13)/Inputs!$D$13*Inputs!$D$12</f>
        <v>25252.951761346481</v>
      </c>
      <c r="K69" s="19">
        <f t="shared" ref="K69:K132" ca="1" si="2">J69-J68</f>
        <v>10776.696559716755</v>
      </c>
      <c r="L69" s="36">
        <f t="shared" ref="L69:L132" ca="1" si="3">+L68+K69</f>
        <v>25252.951761346496</v>
      </c>
    </row>
    <row r="70" spans="7:12">
      <c r="G70" s="35">
        <f>Simulation!E70</f>
        <v>67</v>
      </c>
      <c r="H70" s="19">
        <f ca="1">Simulation!H70</f>
        <v>100.25247270175687</v>
      </c>
      <c r="I70" s="19">
        <f>Inputs!$D$13</f>
        <v>100</v>
      </c>
      <c r="J70" s="19">
        <f ca="1">(Simulation!H70-Inputs!$D$13)/Inputs!$D$13*Inputs!$D$12</f>
        <v>2524.7270175687222</v>
      </c>
      <c r="K70" s="19">
        <f t="shared" ca="1" si="2"/>
        <v>-22728.224743777759</v>
      </c>
      <c r="L70" s="36">
        <f t="shared" ca="1" si="3"/>
        <v>2524.7270175687372</v>
      </c>
    </row>
    <row r="71" spans="7:12">
      <c r="G71" s="35">
        <f>Simulation!E71</f>
        <v>68</v>
      </c>
      <c r="H71" s="19">
        <f ca="1">Simulation!H71</f>
        <v>102.85218891025359</v>
      </c>
      <c r="I71" s="19">
        <f>Inputs!$D$13</f>
        <v>100</v>
      </c>
      <c r="J71" s="19">
        <f ca="1">(Simulation!H71-Inputs!$D$13)/Inputs!$D$13*Inputs!$D$12</f>
        <v>28521.889102535883</v>
      </c>
      <c r="K71" s="19">
        <f t="shared" ca="1" si="2"/>
        <v>25997.16208496716</v>
      </c>
      <c r="L71" s="36">
        <f t="shared" ca="1" si="3"/>
        <v>28521.889102535897</v>
      </c>
    </row>
    <row r="72" spans="7:12">
      <c r="G72" s="35">
        <f>Simulation!E72</f>
        <v>69</v>
      </c>
      <c r="H72" s="19">
        <f ca="1">Simulation!H72</f>
        <v>99.776166316770201</v>
      </c>
      <c r="I72" s="19">
        <f>Inputs!$D$13</f>
        <v>100</v>
      </c>
      <c r="J72" s="19">
        <f ca="1">(Simulation!H72-Inputs!$D$13)/Inputs!$D$13*Inputs!$D$12</f>
        <v>-2238.3368322979891</v>
      </c>
      <c r="K72" s="19">
        <f t="shared" ca="1" si="2"/>
        <v>-30760.22593483387</v>
      </c>
      <c r="L72" s="36">
        <f t="shared" ca="1" si="3"/>
        <v>-2238.3368322979732</v>
      </c>
    </row>
    <row r="73" spans="7:12">
      <c r="G73" s="35">
        <f>Simulation!E73</f>
        <v>70</v>
      </c>
      <c r="H73" s="19">
        <f ca="1">Simulation!H73</f>
        <v>99.773020666188117</v>
      </c>
      <c r="I73" s="19">
        <f>Inputs!$D$13</f>
        <v>100</v>
      </c>
      <c r="J73" s="19">
        <f ca="1">(Simulation!H73-Inputs!$D$13)/Inputs!$D$13*Inputs!$D$12</f>
        <v>-2269.7933381188304</v>
      </c>
      <c r="K73" s="19">
        <f t="shared" ca="1" si="2"/>
        <v>-31.456505820841357</v>
      </c>
      <c r="L73" s="36">
        <f t="shared" ca="1" si="3"/>
        <v>-2269.7933381188145</v>
      </c>
    </row>
    <row r="74" spans="7:12">
      <c r="G74" s="35">
        <f>Simulation!E74</f>
        <v>71</v>
      </c>
      <c r="H74" s="19">
        <f ca="1">Simulation!H74</f>
        <v>100.49947620768526</v>
      </c>
      <c r="I74" s="19">
        <f>Inputs!$D$13</f>
        <v>100</v>
      </c>
      <c r="J74" s="19">
        <f ca="1">(Simulation!H74-Inputs!$D$13)/Inputs!$D$13*Inputs!$D$12</f>
        <v>4994.762076852624</v>
      </c>
      <c r="K74" s="19">
        <f t="shared" ca="1" si="2"/>
        <v>7264.5554149714544</v>
      </c>
      <c r="L74" s="36">
        <f t="shared" ca="1" si="3"/>
        <v>4994.7620768526394</v>
      </c>
    </row>
    <row r="75" spans="7:12">
      <c r="G75" s="35">
        <f>Simulation!E75</f>
        <v>72</v>
      </c>
      <c r="H75" s="19">
        <f ca="1">Simulation!H75</f>
        <v>99.959369626382909</v>
      </c>
      <c r="I75" s="19">
        <f>Inputs!$D$13</f>
        <v>100</v>
      </c>
      <c r="J75" s="19">
        <f ca="1">(Simulation!H75-Inputs!$D$13)/Inputs!$D$13*Inputs!$D$12</f>
        <v>-406.30373617091209</v>
      </c>
      <c r="K75" s="19">
        <f t="shared" ca="1" si="2"/>
        <v>-5401.0658130235361</v>
      </c>
      <c r="L75" s="36">
        <f t="shared" ca="1" si="3"/>
        <v>-406.30373617089663</v>
      </c>
    </row>
    <row r="76" spans="7:12">
      <c r="G76" s="35">
        <f>Simulation!E76</f>
        <v>73</v>
      </c>
      <c r="H76" s="19">
        <f ca="1">Simulation!H76</f>
        <v>99.781943176789881</v>
      </c>
      <c r="I76" s="19">
        <f>Inputs!$D$13</f>
        <v>100</v>
      </c>
      <c r="J76" s="19">
        <f ca="1">(Simulation!H76-Inputs!$D$13)/Inputs!$D$13*Inputs!$D$12</f>
        <v>-2180.5682321011946</v>
      </c>
      <c r="K76" s="19">
        <f t="shared" ca="1" si="2"/>
        <v>-1774.2644959302825</v>
      </c>
      <c r="L76" s="36">
        <f t="shared" ca="1" si="3"/>
        <v>-2180.5682321011791</v>
      </c>
    </row>
    <row r="77" spans="7:12">
      <c r="G77" s="35">
        <f>Simulation!E77</f>
        <v>74</v>
      </c>
      <c r="H77" s="19">
        <f ca="1">Simulation!H77</f>
        <v>100.198668056269</v>
      </c>
      <c r="I77" s="19">
        <f>Inputs!$D$13</f>
        <v>100</v>
      </c>
      <c r="J77" s="19">
        <f ca="1">(Simulation!H77-Inputs!$D$13)/Inputs!$D$13*Inputs!$D$12</f>
        <v>1986.6805626899977</v>
      </c>
      <c r="K77" s="19">
        <f t="shared" ca="1" si="2"/>
        <v>4167.2487947911923</v>
      </c>
      <c r="L77" s="36">
        <f t="shared" ca="1" si="3"/>
        <v>1986.6805626900132</v>
      </c>
    </row>
    <row r="78" spans="7:12">
      <c r="G78" s="35">
        <f>Simulation!E78</f>
        <v>75</v>
      </c>
      <c r="H78" s="19">
        <f ca="1">Simulation!H78</f>
        <v>99.260821585675899</v>
      </c>
      <c r="I78" s="19">
        <f>Inputs!$D$13</f>
        <v>100</v>
      </c>
      <c r="J78" s="19">
        <f ca="1">(Simulation!H78-Inputs!$D$13)/Inputs!$D$13*Inputs!$D$12</f>
        <v>-7391.7841432410114</v>
      </c>
      <c r="K78" s="19">
        <f t="shared" ca="1" si="2"/>
        <v>-9378.4647059310082</v>
      </c>
      <c r="L78" s="36">
        <f t="shared" ca="1" si="3"/>
        <v>-7391.784143240995</v>
      </c>
    </row>
    <row r="79" spans="7:12">
      <c r="G79" s="35">
        <f>Simulation!E79</f>
        <v>76</v>
      </c>
      <c r="H79" s="19">
        <f ca="1">Simulation!H79</f>
        <v>99.648260648351524</v>
      </c>
      <c r="I79" s="19">
        <f>Inputs!$D$13</f>
        <v>100</v>
      </c>
      <c r="J79" s="19">
        <f ca="1">(Simulation!H79-Inputs!$D$13)/Inputs!$D$13*Inputs!$D$12</f>
        <v>-3517.3935164847594</v>
      </c>
      <c r="K79" s="19">
        <f t="shared" ca="1" si="2"/>
        <v>3874.390626756252</v>
      </c>
      <c r="L79" s="36">
        <f t="shared" ca="1" si="3"/>
        <v>-3517.393516484743</v>
      </c>
    </row>
    <row r="80" spans="7:12">
      <c r="G80" s="35">
        <f>Simulation!E80</f>
        <v>77</v>
      </c>
      <c r="H80" s="19">
        <f ca="1">Simulation!H80</f>
        <v>99.043566454719539</v>
      </c>
      <c r="I80" s="19">
        <f>Inputs!$D$13</f>
        <v>100</v>
      </c>
      <c r="J80" s="19">
        <f ca="1">(Simulation!H80-Inputs!$D$13)/Inputs!$D$13*Inputs!$D$12</f>
        <v>-9564.3354528046129</v>
      </c>
      <c r="K80" s="19">
        <f t="shared" ca="1" si="2"/>
        <v>-6046.941936319854</v>
      </c>
      <c r="L80" s="36">
        <f t="shared" ca="1" si="3"/>
        <v>-9564.3354528045966</v>
      </c>
    </row>
    <row r="81" spans="7:12">
      <c r="G81" s="35">
        <f>Simulation!E81</f>
        <v>78</v>
      </c>
      <c r="H81" s="19">
        <f ca="1">Simulation!H81</f>
        <v>99.047151404768968</v>
      </c>
      <c r="I81" s="19">
        <f>Inputs!$D$13</f>
        <v>100</v>
      </c>
      <c r="J81" s="19">
        <f ca="1">(Simulation!H81-Inputs!$D$13)/Inputs!$D$13*Inputs!$D$12</f>
        <v>-9528.4859523103187</v>
      </c>
      <c r="K81" s="19">
        <f t="shared" ca="1" si="2"/>
        <v>35.849500494294261</v>
      </c>
      <c r="L81" s="36">
        <f t="shared" ca="1" si="3"/>
        <v>-9528.4859523103023</v>
      </c>
    </row>
    <row r="82" spans="7:12">
      <c r="G82" s="35">
        <f>Simulation!E82</f>
        <v>79</v>
      </c>
      <c r="H82" s="19">
        <f ca="1">Simulation!H82</f>
        <v>98.488294861693575</v>
      </c>
      <c r="I82" s="19">
        <f>Inputs!$D$13</f>
        <v>100</v>
      </c>
      <c r="J82" s="19">
        <f ca="1">(Simulation!H82-Inputs!$D$13)/Inputs!$D$13*Inputs!$D$12</f>
        <v>-15117.05138306425</v>
      </c>
      <c r="K82" s="19">
        <f t="shared" ca="1" si="2"/>
        <v>-5588.5654307539317</v>
      </c>
      <c r="L82" s="36">
        <f t="shared" ca="1" si="3"/>
        <v>-15117.051383064234</v>
      </c>
    </row>
    <row r="83" spans="7:12">
      <c r="G83" s="35">
        <f>Simulation!E83</f>
        <v>80</v>
      </c>
      <c r="H83" s="19">
        <f ca="1">Simulation!H83</f>
        <v>97.129492284600744</v>
      </c>
      <c r="I83" s="19">
        <f>Inputs!$D$13</f>
        <v>100</v>
      </c>
      <c r="J83" s="19">
        <f ca="1">(Simulation!H83-Inputs!$D$13)/Inputs!$D$13*Inputs!$D$12</f>
        <v>-28705.077153992559</v>
      </c>
      <c r="K83" s="19">
        <f t="shared" ca="1" si="2"/>
        <v>-13588.025770928309</v>
      </c>
      <c r="L83" s="36">
        <f t="shared" ca="1" si="3"/>
        <v>-28705.077153992541</v>
      </c>
    </row>
    <row r="84" spans="7:12">
      <c r="G84" s="35">
        <f>Simulation!E84</f>
        <v>81</v>
      </c>
      <c r="H84" s="19">
        <f ca="1">Simulation!H84</f>
        <v>95.628989981440526</v>
      </c>
      <c r="I84" s="19">
        <f>Inputs!$D$13</f>
        <v>100</v>
      </c>
      <c r="J84" s="19">
        <f ca="1">(Simulation!H84-Inputs!$D$13)/Inputs!$D$13*Inputs!$D$12</f>
        <v>-43710.10018559474</v>
      </c>
      <c r="K84" s="19">
        <f t="shared" ca="1" si="2"/>
        <v>-15005.023031602181</v>
      </c>
      <c r="L84" s="36">
        <f t="shared" ca="1" si="3"/>
        <v>-43710.100185594725</v>
      </c>
    </row>
    <row r="85" spans="7:12">
      <c r="G85" s="35">
        <f>Simulation!E85</f>
        <v>82</v>
      </c>
      <c r="H85" s="19">
        <f ca="1">Simulation!H85</f>
        <v>96.912743361832256</v>
      </c>
      <c r="I85" s="19">
        <f>Inputs!$D$13</f>
        <v>100</v>
      </c>
      <c r="J85" s="19">
        <f ca="1">(Simulation!H85-Inputs!$D$13)/Inputs!$D$13*Inputs!$D$12</f>
        <v>-30872.566381677443</v>
      </c>
      <c r="K85" s="19">
        <f t="shared" ca="1" si="2"/>
        <v>12837.533803917297</v>
      </c>
      <c r="L85" s="36">
        <f t="shared" ca="1" si="3"/>
        <v>-30872.566381677429</v>
      </c>
    </row>
    <row r="86" spans="7:12">
      <c r="G86" s="35">
        <f>Simulation!E86</f>
        <v>83</v>
      </c>
      <c r="H86" s="19">
        <f ca="1">Simulation!H86</f>
        <v>98.774206890804862</v>
      </c>
      <c r="I86" s="19">
        <f>Inputs!$D$13</f>
        <v>100</v>
      </c>
      <c r="J86" s="19">
        <f ca="1">(Simulation!H86-Inputs!$D$13)/Inputs!$D$13*Inputs!$D$12</f>
        <v>-12257.931091951377</v>
      </c>
      <c r="K86" s="19">
        <f t="shared" ca="1" si="2"/>
        <v>18614.635289726066</v>
      </c>
      <c r="L86" s="36">
        <f t="shared" ca="1" si="3"/>
        <v>-12257.931091951363</v>
      </c>
    </row>
    <row r="87" spans="7:12">
      <c r="G87" s="35">
        <f>Simulation!E87</f>
        <v>84</v>
      </c>
      <c r="H87" s="19">
        <f ca="1">Simulation!H87</f>
        <v>100.16908966201896</v>
      </c>
      <c r="I87" s="19">
        <f>Inputs!$D$13</f>
        <v>100</v>
      </c>
      <c r="J87" s="19">
        <f ca="1">(Simulation!H87-Inputs!$D$13)/Inputs!$D$13*Inputs!$D$12</f>
        <v>1690.8966201896192</v>
      </c>
      <c r="K87" s="19">
        <f t="shared" ca="1" si="2"/>
        <v>13948.827712140996</v>
      </c>
      <c r="L87" s="36">
        <f t="shared" ca="1" si="3"/>
        <v>1690.8966201896328</v>
      </c>
    </row>
    <row r="88" spans="7:12">
      <c r="G88" s="35">
        <f>Simulation!E88</f>
        <v>85</v>
      </c>
      <c r="H88" s="19">
        <f ca="1">Simulation!H88</f>
        <v>100.92848782033367</v>
      </c>
      <c r="I88" s="19">
        <f>Inputs!$D$13</f>
        <v>100</v>
      </c>
      <c r="J88" s="19">
        <f ca="1">(Simulation!H88-Inputs!$D$13)/Inputs!$D$13*Inputs!$D$12</f>
        <v>9284.878203336717</v>
      </c>
      <c r="K88" s="19">
        <f t="shared" ca="1" si="2"/>
        <v>7593.9815831470978</v>
      </c>
      <c r="L88" s="36">
        <f t="shared" ca="1" si="3"/>
        <v>9284.8782033367315</v>
      </c>
    </row>
    <row r="89" spans="7:12">
      <c r="G89" s="35">
        <f>Simulation!E89</f>
        <v>86</v>
      </c>
      <c r="H89" s="19">
        <f ca="1">Simulation!H89</f>
        <v>99.71102297611634</v>
      </c>
      <c r="I89" s="19">
        <f>Inputs!$D$13</f>
        <v>100</v>
      </c>
      <c r="J89" s="19">
        <f ca="1">(Simulation!H89-Inputs!$D$13)/Inputs!$D$13*Inputs!$D$12</f>
        <v>-2889.7702388366042</v>
      </c>
      <c r="K89" s="19">
        <f t="shared" ca="1" si="2"/>
        <v>-12174.648442173322</v>
      </c>
      <c r="L89" s="36">
        <f t="shared" ca="1" si="3"/>
        <v>-2889.7702388365906</v>
      </c>
    </row>
    <row r="90" spans="7:12">
      <c r="G90" s="35">
        <f>Simulation!E90</f>
        <v>87</v>
      </c>
      <c r="H90" s="19">
        <f ca="1">Simulation!H90</f>
        <v>99.437240390310293</v>
      </c>
      <c r="I90" s="19">
        <f>Inputs!$D$13</f>
        <v>100</v>
      </c>
      <c r="J90" s="19">
        <f ca="1">(Simulation!H90-Inputs!$D$13)/Inputs!$D$13*Inputs!$D$12</f>
        <v>-5627.5960968970658</v>
      </c>
      <c r="K90" s="19">
        <f t="shared" ca="1" si="2"/>
        <v>-2737.8258580604615</v>
      </c>
      <c r="L90" s="36">
        <f t="shared" ca="1" si="3"/>
        <v>-5627.5960968970521</v>
      </c>
    </row>
    <row r="91" spans="7:12">
      <c r="G91" s="35">
        <f>Simulation!E91</f>
        <v>88</v>
      </c>
      <c r="H91" s="19">
        <f ca="1">Simulation!H91</f>
        <v>99.065718281589028</v>
      </c>
      <c r="I91" s="19">
        <f>Inputs!$D$13</f>
        <v>100</v>
      </c>
      <c r="J91" s="19">
        <f ca="1">(Simulation!H91-Inputs!$D$13)/Inputs!$D$13*Inputs!$D$12</f>
        <v>-9342.817184109721</v>
      </c>
      <c r="K91" s="19">
        <f t="shared" ca="1" si="2"/>
        <v>-3715.2210872126552</v>
      </c>
      <c r="L91" s="36">
        <f t="shared" ca="1" si="3"/>
        <v>-9342.8171841097064</v>
      </c>
    </row>
    <row r="92" spans="7:12">
      <c r="G92" s="35">
        <f>Simulation!E92</f>
        <v>89</v>
      </c>
      <c r="H92" s="19">
        <f ca="1">Simulation!H92</f>
        <v>98.333252751481382</v>
      </c>
      <c r="I92" s="19">
        <f>Inputs!$D$13</f>
        <v>100</v>
      </c>
      <c r="J92" s="19">
        <f ca="1">(Simulation!H92-Inputs!$D$13)/Inputs!$D$13*Inputs!$D$12</f>
        <v>-16667.472485186183</v>
      </c>
      <c r="K92" s="19">
        <f t="shared" ca="1" si="2"/>
        <v>-7324.6553010764619</v>
      </c>
      <c r="L92" s="36">
        <f t="shared" ca="1" si="3"/>
        <v>-16667.472485186168</v>
      </c>
    </row>
    <row r="93" spans="7:12">
      <c r="G93" s="35">
        <f>Simulation!E93</f>
        <v>90</v>
      </c>
      <c r="H93" s="19">
        <f ca="1">Simulation!H93</f>
        <v>98.582407306919364</v>
      </c>
      <c r="I93" s="19">
        <f>Inputs!$D$13</f>
        <v>100</v>
      </c>
      <c r="J93" s="19">
        <f ca="1">(Simulation!H93-Inputs!$D$13)/Inputs!$D$13*Inputs!$D$12</f>
        <v>-14175.926930806356</v>
      </c>
      <c r="K93" s="19">
        <f t="shared" ca="1" si="2"/>
        <v>2491.5455543798271</v>
      </c>
      <c r="L93" s="36">
        <f t="shared" ca="1" si="3"/>
        <v>-14175.926930806341</v>
      </c>
    </row>
    <row r="94" spans="7:12">
      <c r="G94" s="35">
        <f>Simulation!E94</f>
        <v>91</v>
      </c>
      <c r="H94" s="19">
        <f ca="1">Simulation!H94</f>
        <v>98.050791146170951</v>
      </c>
      <c r="I94" s="19">
        <f>Inputs!$D$13</f>
        <v>100</v>
      </c>
      <c r="J94" s="19">
        <f ca="1">(Simulation!H94-Inputs!$D$13)/Inputs!$D$13*Inputs!$D$12</f>
        <v>-19492.088538290489</v>
      </c>
      <c r="K94" s="19">
        <f t="shared" ca="1" si="2"/>
        <v>-5316.1616074841331</v>
      </c>
      <c r="L94" s="36">
        <f t="shared" ca="1" si="3"/>
        <v>-19492.088538290474</v>
      </c>
    </row>
    <row r="95" spans="7:12">
      <c r="G95" s="35">
        <f>Simulation!E95</f>
        <v>92</v>
      </c>
      <c r="H95" s="19">
        <f ca="1">Simulation!H95</f>
        <v>96.758669556088805</v>
      </c>
      <c r="I95" s="19">
        <f>Inputs!$D$13</f>
        <v>100</v>
      </c>
      <c r="J95" s="19">
        <f ca="1">(Simulation!H95-Inputs!$D$13)/Inputs!$D$13*Inputs!$D$12</f>
        <v>-32413.304439111951</v>
      </c>
      <c r="K95" s="19">
        <f t="shared" ca="1" si="2"/>
        <v>-12921.215900821462</v>
      </c>
      <c r="L95" s="36">
        <f t="shared" ca="1" si="3"/>
        <v>-32413.304439111937</v>
      </c>
    </row>
    <row r="96" spans="7:12">
      <c r="G96" s="35">
        <f>Simulation!E96</f>
        <v>93</v>
      </c>
      <c r="H96" s="19">
        <f ca="1">Simulation!H96</f>
        <v>95.809579893801967</v>
      </c>
      <c r="I96" s="19">
        <f>Inputs!$D$13</f>
        <v>100</v>
      </c>
      <c r="J96" s="19">
        <f ca="1">(Simulation!H96-Inputs!$D$13)/Inputs!$D$13*Inputs!$D$12</f>
        <v>-41904.201061980333</v>
      </c>
      <c r="K96" s="19">
        <f t="shared" ca="1" si="2"/>
        <v>-9490.8966228683821</v>
      </c>
      <c r="L96" s="36">
        <f t="shared" ca="1" si="3"/>
        <v>-41904.201061980319</v>
      </c>
    </row>
    <row r="97" spans="7:12">
      <c r="G97" s="35">
        <f>Simulation!E97</f>
        <v>94</v>
      </c>
      <c r="H97" s="19">
        <f ca="1">Simulation!H97</f>
        <v>96.307118386248405</v>
      </c>
      <c r="I97" s="19">
        <f>Inputs!$D$13</f>
        <v>100</v>
      </c>
      <c r="J97" s="19">
        <f ca="1">(Simulation!H97-Inputs!$D$13)/Inputs!$D$13*Inputs!$D$12</f>
        <v>-36928.816137515954</v>
      </c>
      <c r="K97" s="19">
        <f t="shared" ca="1" si="2"/>
        <v>4975.3849244643789</v>
      </c>
      <c r="L97" s="36">
        <f t="shared" ca="1" si="3"/>
        <v>-36928.81613751594</v>
      </c>
    </row>
    <row r="98" spans="7:12">
      <c r="G98" s="35">
        <f>Simulation!E98</f>
        <v>95</v>
      </c>
      <c r="H98" s="19">
        <f ca="1">Simulation!H98</f>
        <v>95.948820312130024</v>
      </c>
      <c r="I98" s="19">
        <f>Inputs!$D$13</f>
        <v>100</v>
      </c>
      <c r="J98" s="19">
        <f ca="1">(Simulation!H98-Inputs!$D$13)/Inputs!$D$13*Inputs!$D$12</f>
        <v>-40511.796878699752</v>
      </c>
      <c r="K98" s="19">
        <f t="shared" ca="1" si="2"/>
        <v>-3582.9807411837974</v>
      </c>
      <c r="L98" s="36">
        <f t="shared" ca="1" si="3"/>
        <v>-40511.796878699737</v>
      </c>
    </row>
    <row r="99" spans="7:12">
      <c r="G99" s="35">
        <f>Simulation!E99</f>
        <v>96</v>
      </c>
      <c r="H99" s="19">
        <f ca="1">Simulation!H99</f>
        <v>96.562381363587761</v>
      </c>
      <c r="I99" s="19">
        <f>Inputs!$D$13</f>
        <v>100</v>
      </c>
      <c r="J99" s="19">
        <f ca="1">(Simulation!H99-Inputs!$D$13)/Inputs!$D$13*Inputs!$D$12</f>
        <v>-34376.18636412239</v>
      </c>
      <c r="K99" s="19">
        <f t="shared" ca="1" si="2"/>
        <v>6135.6105145773618</v>
      </c>
      <c r="L99" s="36">
        <f t="shared" ca="1" si="3"/>
        <v>-34376.186364122375</v>
      </c>
    </row>
    <row r="100" spans="7:12">
      <c r="G100" s="35">
        <f>Simulation!E100</f>
        <v>97</v>
      </c>
      <c r="H100" s="19">
        <f ca="1">Simulation!H100</f>
        <v>94.548655463434685</v>
      </c>
      <c r="I100" s="19">
        <f>Inputs!$D$13</f>
        <v>100</v>
      </c>
      <c r="J100" s="19">
        <f ca="1">(Simulation!H100-Inputs!$D$13)/Inputs!$D$13*Inputs!$D$12</f>
        <v>-54513.445365653155</v>
      </c>
      <c r="K100" s="19">
        <f t="shared" ca="1" si="2"/>
        <v>-20137.259001530765</v>
      </c>
      <c r="L100" s="36">
        <f t="shared" ca="1" si="3"/>
        <v>-54513.44536565314</v>
      </c>
    </row>
    <row r="101" spans="7:12">
      <c r="G101" s="35">
        <f>Simulation!E101</f>
        <v>98</v>
      </c>
      <c r="H101" s="19">
        <f ca="1">Simulation!H101</f>
        <v>95.006965752725989</v>
      </c>
      <c r="I101" s="19">
        <f>Inputs!$D$13</f>
        <v>100</v>
      </c>
      <c r="J101" s="19">
        <f ca="1">(Simulation!H101-Inputs!$D$13)/Inputs!$D$13*Inputs!$D$12</f>
        <v>-49930.342472740107</v>
      </c>
      <c r="K101" s="19">
        <f t="shared" ca="1" si="2"/>
        <v>4583.102892913048</v>
      </c>
      <c r="L101" s="36">
        <f t="shared" ca="1" si="3"/>
        <v>-49930.342472740092</v>
      </c>
    </row>
    <row r="102" spans="7:12">
      <c r="G102" s="35">
        <f>Simulation!E102</f>
        <v>99</v>
      </c>
      <c r="H102" s="19">
        <f ca="1">Simulation!H102</f>
        <v>98.538037071155514</v>
      </c>
      <c r="I102" s="19">
        <f>Inputs!$D$13</f>
        <v>100</v>
      </c>
      <c r="J102" s="19">
        <f ca="1">(Simulation!H102-Inputs!$D$13)/Inputs!$D$13*Inputs!$D$12</f>
        <v>-14619.629288444856</v>
      </c>
      <c r="K102" s="19">
        <f t="shared" ca="1" si="2"/>
        <v>35310.713184295251</v>
      </c>
      <c r="L102" s="36">
        <f t="shared" ca="1" si="3"/>
        <v>-14619.629288444841</v>
      </c>
    </row>
    <row r="103" spans="7:12">
      <c r="G103" s="35">
        <f>Simulation!E103</f>
        <v>100</v>
      </c>
      <c r="H103" s="19">
        <f ca="1">Simulation!H103</f>
        <v>99.76879264192047</v>
      </c>
      <c r="I103" s="19">
        <f>Inputs!$D$13</f>
        <v>100</v>
      </c>
      <c r="J103" s="19">
        <f ca="1">(Simulation!H103-Inputs!$D$13)/Inputs!$D$13*Inputs!$D$12</f>
        <v>-2312.0735807952997</v>
      </c>
      <c r="K103" s="19">
        <f t="shared" ca="1" si="2"/>
        <v>12307.555707649557</v>
      </c>
      <c r="L103" s="36">
        <f t="shared" ca="1" si="3"/>
        <v>-2312.0735807952842</v>
      </c>
    </row>
    <row r="104" spans="7:12">
      <c r="G104" s="35">
        <f>Simulation!E104</f>
        <v>101</v>
      </c>
      <c r="H104" s="19">
        <f ca="1">Simulation!H104</f>
        <v>101.04037684071746</v>
      </c>
      <c r="I104" s="19">
        <f>Inputs!$D$13</f>
        <v>100</v>
      </c>
      <c r="J104" s="19">
        <f ca="1">(Simulation!H104-Inputs!$D$13)/Inputs!$D$13*Inputs!$D$12</f>
        <v>10403.768407174568</v>
      </c>
      <c r="K104" s="19">
        <f t="shared" ca="1" si="2"/>
        <v>12715.841987969867</v>
      </c>
      <c r="L104" s="36">
        <f t="shared" ca="1" si="3"/>
        <v>10403.768407174583</v>
      </c>
    </row>
    <row r="105" spans="7:12">
      <c r="G105" s="35">
        <f>Simulation!E105</f>
        <v>102</v>
      </c>
      <c r="H105" s="19">
        <f ca="1">Simulation!H105</f>
        <v>100.29447568922772</v>
      </c>
      <c r="I105" s="19">
        <f>Inputs!$D$13</f>
        <v>100</v>
      </c>
      <c r="J105" s="19">
        <f ca="1">(Simulation!H105-Inputs!$D$13)/Inputs!$D$13*Inputs!$D$12</f>
        <v>2944.7568922772407</v>
      </c>
      <c r="K105" s="19">
        <f t="shared" ca="1" si="2"/>
        <v>-7459.0115148973273</v>
      </c>
      <c r="L105" s="36">
        <f t="shared" ca="1" si="3"/>
        <v>2944.7568922772552</v>
      </c>
    </row>
    <row r="106" spans="7:12">
      <c r="G106" s="35">
        <f>Simulation!E106</f>
        <v>103</v>
      </c>
      <c r="H106" s="19">
        <f ca="1">Simulation!H106</f>
        <v>97.782999718546677</v>
      </c>
      <c r="I106" s="19">
        <f>Inputs!$D$13</f>
        <v>100</v>
      </c>
      <c r="J106" s="19">
        <f ca="1">(Simulation!H106-Inputs!$D$13)/Inputs!$D$13*Inputs!$D$12</f>
        <v>-22170.002814533233</v>
      </c>
      <c r="K106" s="19">
        <f t="shared" ca="1" si="2"/>
        <v>-25114.759706810473</v>
      </c>
      <c r="L106" s="36">
        <f t="shared" ca="1" si="3"/>
        <v>-22170.002814533218</v>
      </c>
    </row>
    <row r="107" spans="7:12">
      <c r="G107" s="35">
        <f>Simulation!E107</f>
        <v>104</v>
      </c>
      <c r="H107" s="19">
        <f ca="1">Simulation!H107</f>
        <v>98.933224986518596</v>
      </c>
      <c r="I107" s="19">
        <f>Inputs!$D$13</f>
        <v>100</v>
      </c>
      <c r="J107" s="19">
        <f ca="1">(Simulation!H107-Inputs!$D$13)/Inputs!$D$13*Inputs!$D$12</f>
        <v>-10667.750134814041</v>
      </c>
      <c r="K107" s="19">
        <f t="shared" ca="1" si="2"/>
        <v>11502.252679719191</v>
      </c>
      <c r="L107" s="36">
        <f t="shared" ca="1" si="3"/>
        <v>-10667.750134814027</v>
      </c>
    </row>
    <row r="108" spans="7:12">
      <c r="G108" s="35">
        <f>Simulation!E108</f>
        <v>105</v>
      </c>
      <c r="H108" s="19">
        <f ca="1">Simulation!H108</f>
        <v>100.7695579887382</v>
      </c>
      <c r="I108" s="19">
        <f>Inputs!$D$13</f>
        <v>100</v>
      </c>
      <c r="J108" s="19">
        <f ca="1">(Simulation!H108-Inputs!$D$13)/Inputs!$D$13*Inputs!$D$12</f>
        <v>7695.5798873819958</v>
      </c>
      <c r="K108" s="19">
        <f t="shared" ca="1" si="2"/>
        <v>18363.330022196038</v>
      </c>
      <c r="L108" s="36">
        <f t="shared" ca="1" si="3"/>
        <v>7695.5798873820113</v>
      </c>
    </row>
    <row r="109" spans="7:12">
      <c r="G109" s="35">
        <f>Simulation!E109</f>
        <v>106</v>
      </c>
      <c r="H109" s="19">
        <f ca="1">Simulation!H109</f>
        <v>99.708720652010015</v>
      </c>
      <c r="I109" s="19">
        <f>Inputs!$D$13</f>
        <v>100</v>
      </c>
      <c r="J109" s="19">
        <f ca="1">(Simulation!H109-Inputs!$D$13)/Inputs!$D$13*Inputs!$D$12</f>
        <v>-2912.7934798998467</v>
      </c>
      <c r="K109" s="19">
        <f t="shared" ca="1" si="2"/>
        <v>-10608.373367281842</v>
      </c>
      <c r="L109" s="36">
        <f t="shared" ca="1" si="3"/>
        <v>-2912.7934798998303</v>
      </c>
    </row>
    <row r="110" spans="7:12">
      <c r="G110" s="35">
        <f>Simulation!E110</f>
        <v>107</v>
      </c>
      <c r="H110" s="19">
        <f ca="1">Simulation!H110</f>
        <v>99.211823435000241</v>
      </c>
      <c r="I110" s="19">
        <f>Inputs!$D$13</f>
        <v>100</v>
      </c>
      <c r="J110" s="19">
        <f ca="1">(Simulation!H110-Inputs!$D$13)/Inputs!$D$13*Inputs!$D$12</f>
        <v>-7881.7656499975892</v>
      </c>
      <c r="K110" s="19">
        <f t="shared" ca="1" si="2"/>
        <v>-4968.9721700977425</v>
      </c>
      <c r="L110" s="36">
        <f t="shared" ca="1" si="3"/>
        <v>-7881.7656499975728</v>
      </c>
    </row>
    <row r="111" spans="7:12">
      <c r="G111" s="35">
        <f>Simulation!E111</f>
        <v>108</v>
      </c>
      <c r="H111" s="19">
        <f ca="1">Simulation!H111</f>
        <v>97.628178339516808</v>
      </c>
      <c r="I111" s="19">
        <f>Inputs!$D$13</f>
        <v>100</v>
      </c>
      <c r="J111" s="19">
        <f ca="1">(Simulation!H111-Inputs!$D$13)/Inputs!$D$13*Inputs!$D$12</f>
        <v>-23718.216604831923</v>
      </c>
      <c r="K111" s="19">
        <f t="shared" ca="1" si="2"/>
        <v>-15836.450954834334</v>
      </c>
      <c r="L111" s="36">
        <f t="shared" ca="1" si="3"/>
        <v>-23718.216604831905</v>
      </c>
    </row>
    <row r="112" spans="7:12">
      <c r="G112" s="35">
        <f>Simulation!E112</f>
        <v>109</v>
      </c>
      <c r="H112" s="19">
        <f ca="1">Simulation!H112</f>
        <v>97.269229672190136</v>
      </c>
      <c r="I112" s="19">
        <f>Inputs!$D$13</f>
        <v>100</v>
      </c>
      <c r="J112" s="19">
        <f ca="1">(Simulation!H112-Inputs!$D$13)/Inputs!$D$13*Inputs!$D$12</f>
        <v>-27307.703278098645</v>
      </c>
      <c r="K112" s="19">
        <f t="shared" ca="1" si="2"/>
        <v>-3589.4866732667215</v>
      </c>
      <c r="L112" s="36">
        <f t="shared" ca="1" si="3"/>
        <v>-27307.703278098626</v>
      </c>
    </row>
    <row r="113" spans="7:12">
      <c r="G113" s="35">
        <f>Simulation!E113</f>
        <v>110</v>
      </c>
      <c r="H113" s="19">
        <f ca="1">Simulation!H113</f>
        <v>98.129403506424978</v>
      </c>
      <c r="I113" s="19">
        <f>Inputs!$D$13</f>
        <v>100</v>
      </c>
      <c r="J113" s="19">
        <f ca="1">(Simulation!H113-Inputs!$D$13)/Inputs!$D$13*Inputs!$D$12</f>
        <v>-18705.964935750217</v>
      </c>
      <c r="K113" s="19">
        <f t="shared" ca="1" si="2"/>
        <v>8601.738342348428</v>
      </c>
      <c r="L113" s="36">
        <f t="shared" ca="1" si="3"/>
        <v>-18705.964935750198</v>
      </c>
    </row>
    <row r="114" spans="7:12">
      <c r="G114" s="35">
        <f>Simulation!E114</f>
        <v>111</v>
      </c>
      <c r="H114" s="19">
        <f ca="1">Simulation!H114</f>
        <v>99.454864598485415</v>
      </c>
      <c r="I114" s="19">
        <f>Inputs!$D$13</f>
        <v>100</v>
      </c>
      <c r="J114" s="19">
        <f ca="1">(Simulation!H114-Inputs!$D$13)/Inputs!$D$13*Inputs!$D$12</f>
        <v>-5451.3540151458528</v>
      </c>
      <c r="K114" s="19">
        <f t="shared" ca="1" si="2"/>
        <v>13254.610920604364</v>
      </c>
      <c r="L114" s="36">
        <f t="shared" ca="1" si="3"/>
        <v>-5451.3540151458346</v>
      </c>
    </row>
    <row r="115" spans="7:12">
      <c r="G115" s="35">
        <f>Simulation!E115</f>
        <v>112</v>
      </c>
      <c r="H115" s="19">
        <f ca="1">Simulation!H115</f>
        <v>100.35708278811994</v>
      </c>
      <c r="I115" s="19">
        <f>Inputs!$D$13</f>
        <v>100</v>
      </c>
      <c r="J115" s="19">
        <f ca="1">(Simulation!H115-Inputs!$D$13)/Inputs!$D$13*Inputs!$D$12</f>
        <v>3570.8278811993919</v>
      </c>
      <c r="K115" s="19">
        <f t="shared" ca="1" si="2"/>
        <v>9022.1818963452442</v>
      </c>
      <c r="L115" s="36">
        <f t="shared" ca="1" si="3"/>
        <v>3570.8278811994096</v>
      </c>
    </row>
    <row r="116" spans="7:12">
      <c r="G116" s="35">
        <f>Simulation!E116</f>
        <v>113</v>
      </c>
      <c r="H116" s="19">
        <f ca="1">Simulation!H116</f>
        <v>100.31408720772278</v>
      </c>
      <c r="I116" s="19">
        <f>Inputs!$D$13</f>
        <v>100</v>
      </c>
      <c r="J116" s="19">
        <f ca="1">(Simulation!H116-Inputs!$D$13)/Inputs!$D$13*Inputs!$D$12</f>
        <v>3140.8720772277829</v>
      </c>
      <c r="K116" s="19">
        <f t="shared" ca="1" si="2"/>
        <v>-429.95580397160893</v>
      </c>
      <c r="L116" s="36">
        <f t="shared" ca="1" si="3"/>
        <v>3140.8720772278007</v>
      </c>
    </row>
    <row r="117" spans="7:12">
      <c r="G117" s="35">
        <f>Simulation!E117</f>
        <v>114</v>
      </c>
      <c r="H117" s="19">
        <f ca="1">Simulation!H117</f>
        <v>99.362820686896683</v>
      </c>
      <c r="I117" s="19">
        <f>Inputs!$D$13</f>
        <v>100</v>
      </c>
      <c r="J117" s="19">
        <f ca="1">(Simulation!H117-Inputs!$D$13)/Inputs!$D$13*Inputs!$D$12</f>
        <v>-6371.7931310331714</v>
      </c>
      <c r="K117" s="19">
        <f t="shared" ca="1" si="2"/>
        <v>-9512.6652082609544</v>
      </c>
      <c r="L117" s="36">
        <f t="shared" ca="1" si="3"/>
        <v>-6371.7931310331533</v>
      </c>
    </row>
    <row r="118" spans="7:12">
      <c r="G118" s="35">
        <f>Simulation!E118</f>
        <v>115</v>
      </c>
      <c r="H118" s="19">
        <f ca="1">Simulation!H118</f>
        <v>98.838901703676342</v>
      </c>
      <c r="I118" s="19">
        <f>Inputs!$D$13</f>
        <v>100</v>
      </c>
      <c r="J118" s="19">
        <f ca="1">(Simulation!H118-Inputs!$D$13)/Inputs!$D$13*Inputs!$D$12</f>
        <v>-11610.98296323658</v>
      </c>
      <c r="K118" s="19">
        <f t="shared" ca="1" si="2"/>
        <v>-5239.1898322034085</v>
      </c>
      <c r="L118" s="36">
        <f t="shared" ca="1" si="3"/>
        <v>-11610.982963236562</v>
      </c>
    </row>
    <row r="119" spans="7:12">
      <c r="G119" s="35">
        <f>Simulation!E119</f>
        <v>116</v>
      </c>
      <c r="H119" s="19">
        <f ca="1">Simulation!H119</f>
        <v>98.022766014584391</v>
      </c>
      <c r="I119" s="19">
        <f>Inputs!$D$13</f>
        <v>100</v>
      </c>
      <c r="J119" s="19">
        <f ca="1">(Simulation!H119-Inputs!$D$13)/Inputs!$D$13*Inputs!$D$12</f>
        <v>-19772.339854156085</v>
      </c>
      <c r="K119" s="19">
        <f t="shared" ca="1" si="2"/>
        <v>-8161.3568909195055</v>
      </c>
      <c r="L119" s="36">
        <f t="shared" ca="1" si="3"/>
        <v>-19772.339854156067</v>
      </c>
    </row>
    <row r="120" spans="7:12">
      <c r="G120" s="35">
        <f>Simulation!E120</f>
        <v>117</v>
      </c>
      <c r="H120" s="19">
        <f ca="1">Simulation!H120</f>
        <v>98.689881380253112</v>
      </c>
      <c r="I120" s="19">
        <f>Inputs!$D$13</f>
        <v>100</v>
      </c>
      <c r="J120" s="19">
        <f ca="1">(Simulation!H120-Inputs!$D$13)/Inputs!$D$13*Inputs!$D$12</f>
        <v>-13101.186197468876</v>
      </c>
      <c r="K120" s="19">
        <f t="shared" ca="1" si="2"/>
        <v>6671.1536566872091</v>
      </c>
      <c r="L120" s="36">
        <f t="shared" ca="1" si="3"/>
        <v>-13101.186197468858</v>
      </c>
    </row>
    <row r="121" spans="7:12">
      <c r="G121" s="35">
        <f>Simulation!E121</f>
        <v>118</v>
      </c>
      <c r="H121" s="19">
        <f ca="1">Simulation!H121</f>
        <v>96.49360045769059</v>
      </c>
      <c r="I121" s="19">
        <f>Inputs!$D$13</f>
        <v>100</v>
      </c>
      <c r="J121" s="19">
        <f ca="1">(Simulation!H121-Inputs!$D$13)/Inputs!$D$13*Inputs!$D$12</f>
        <v>-35063.9954230941</v>
      </c>
      <c r="K121" s="19">
        <f t="shared" ca="1" si="2"/>
        <v>-21962.809225625224</v>
      </c>
      <c r="L121" s="36">
        <f t="shared" ca="1" si="3"/>
        <v>-35063.995423094078</v>
      </c>
    </row>
    <row r="122" spans="7:12">
      <c r="G122" s="35">
        <f>Simulation!E122</f>
        <v>119</v>
      </c>
      <c r="H122" s="19">
        <f ca="1">Simulation!H122</f>
        <v>94.695776805884165</v>
      </c>
      <c r="I122" s="19">
        <f>Inputs!$D$13</f>
        <v>100</v>
      </c>
      <c r="J122" s="19">
        <f ca="1">(Simulation!H122-Inputs!$D$13)/Inputs!$D$13*Inputs!$D$12</f>
        <v>-53042.231941158345</v>
      </c>
      <c r="K122" s="19">
        <f t="shared" ca="1" si="2"/>
        <v>-17978.236518064245</v>
      </c>
      <c r="L122" s="36">
        <f t="shared" ca="1" si="3"/>
        <v>-53042.231941158323</v>
      </c>
    </row>
    <row r="123" spans="7:12">
      <c r="G123" s="35">
        <f>Simulation!E123</f>
        <v>120</v>
      </c>
      <c r="H123" s="19">
        <f ca="1">Simulation!H123</f>
        <v>94.079597094164555</v>
      </c>
      <c r="I123" s="19">
        <f>Inputs!$D$13</f>
        <v>100</v>
      </c>
      <c r="J123" s="19">
        <f ca="1">(Simulation!H123-Inputs!$D$13)/Inputs!$D$13*Inputs!$D$12</f>
        <v>-59204.029058354448</v>
      </c>
      <c r="K123" s="19">
        <f t="shared" ca="1" si="2"/>
        <v>-6161.7971171961035</v>
      </c>
      <c r="L123" s="36">
        <f t="shared" ca="1" si="3"/>
        <v>-59204.029058354427</v>
      </c>
    </row>
    <row r="124" spans="7:12">
      <c r="G124" s="35">
        <f>Simulation!E124</f>
        <v>121</v>
      </c>
      <c r="H124" s="19">
        <f ca="1">Simulation!H124</f>
        <v>92.001390289062527</v>
      </c>
      <c r="I124" s="19">
        <f>Inputs!$D$13</f>
        <v>100</v>
      </c>
      <c r="J124" s="19">
        <f ca="1">(Simulation!H124-Inputs!$D$13)/Inputs!$D$13*Inputs!$D$12</f>
        <v>-79986.097109374721</v>
      </c>
      <c r="K124" s="19">
        <f t="shared" ca="1" si="2"/>
        <v>-20782.068051020273</v>
      </c>
      <c r="L124" s="36">
        <f t="shared" ca="1" si="3"/>
        <v>-79986.097109374707</v>
      </c>
    </row>
    <row r="125" spans="7:12">
      <c r="G125" s="35">
        <f>Simulation!E125</f>
        <v>122</v>
      </c>
      <c r="H125" s="19">
        <f ca="1">Simulation!H125</f>
        <v>91.735439832960182</v>
      </c>
      <c r="I125" s="19">
        <f>Inputs!$D$13</f>
        <v>100</v>
      </c>
      <c r="J125" s="19">
        <f ca="1">(Simulation!H125-Inputs!$D$13)/Inputs!$D$13*Inputs!$D$12</f>
        <v>-82645.601670398188</v>
      </c>
      <c r="K125" s="19">
        <f t="shared" ca="1" si="2"/>
        <v>-2659.5045610234665</v>
      </c>
      <c r="L125" s="36">
        <f t="shared" ca="1" si="3"/>
        <v>-82645.601670398173</v>
      </c>
    </row>
    <row r="126" spans="7:12">
      <c r="G126" s="35">
        <f>Simulation!E126</f>
        <v>123</v>
      </c>
      <c r="H126" s="19">
        <f ca="1">Simulation!H126</f>
        <v>93.078838001660614</v>
      </c>
      <c r="I126" s="19">
        <f>Inputs!$D$13</f>
        <v>100</v>
      </c>
      <c r="J126" s="19">
        <f ca="1">(Simulation!H126-Inputs!$D$13)/Inputs!$D$13*Inputs!$D$12</f>
        <v>-69211.619983393859</v>
      </c>
      <c r="K126" s="19">
        <f t="shared" ca="1" si="2"/>
        <v>13433.981687004329</v>
      </c>
      <c r="L126" s="36">
        <f t="shared" ca="1" si="3"/>
        <v>-69211.619983393844</v>
      </c>
    </row>
    <row r="127" spans="7:12">
      <c r="G127" s="35">
        <f>Simulation!E127</f>
        <v>124</v>
      </c>
      <c r="H127" s="19">
        <f ca="1">Simulation!H127</f>
        <v>94.207492190932683</v>
      </c>
      <c r="I127" s="19">
        <f>Inputs!$D$13</f>
        <v>100</v>
      </c>
      <c r="J127" s="19">
        <f ca="1">(Simulation!H127-Inputs!$D$13)/Inputs!$D$13*Inputs!$D$12</f>
        <v>-57925.078090673167</v>
      </c>
      <c r="K127" s="19">
        <f t="shared" ca="1" si="2"/>
        <v>11286.541892720692</v>
      </c>
      <c r="L127" s="36">
        <f t="shared" ca="1" si="3"/>
        <v>-57925.078090673152</v>
      </c>
    </row>
    <row r="128" spans="7:12">
      <c r="G128" s="35">
        <f>Simulation!E128</f>
        <v>125</v>
      </c>
      <c r="H128" s="19">
        <f ca="1">Simulation!H128</f>
        <v>93.009861902977875</v>
      </c>
      <c r="I128" s="19">
        <f>Inputs!$D$13</f>
        <v>100</v>
      </c>
      <c r="J128" s="19">
        <f ca="1">(Simulation!H128-Inputs!$D$13)/Inputs!$D$13*Inputs!$D$12</f>
        <v>-69901.380970221246</v>
      </c>
      <c r="K128" s="19">
        <f t="shared" ca="1" si="2"/>
        <v>-11976.302879548079</v>
      </c>
      <c r="L128" s="36">
        <f t="shared" ca="1" si="3"/>
        <v>-69901.380970221231</v>
      </c>
    </row>
    <row r="129" spans="7:12">
      <c r="G129" s="35">
        <f>Simulation!E129</f>
        <v>126</v>
      </c>
      <c r="H129" s="19">
        <f ca="1">Simulation!H129</f>
        <v>91.077693734339135</v>
      </c>
      <c r="I129" s="19">
        <f>Inputs!$D$13</f>
        <v>100</v>
      </c>
      <c r="J129" s="19">
        <f ca="1">(Simulation!H129-Inputs!$D$13)/Inputs!$D$13*Inputs!$D$12</f>
        <v>-89223.062656608643</v>
      </c>
      <c r="K129" s="19">
        <f t="shared" ca="1" si="2"/>
        <v>-19321.681686387397</v>
      </c>
      <c r="L129" s="36">
        <f t="shared" ca="1" si="3"/>
        <v>-89223.062656608628</v>
      </c>
    </row>
    <row r="130" spans="7:12">
      <c r="G130" s="35">
        <f>Simulation!E130</f>
        <v>127</v>
      </c>
      <c r="H130" s="19">
        <f ca="1">Simulation!H130</f>
        <v>91.186942820896704</v>
      </c>
      <c r="I130" s="19">
        <f>Inputs!$D$13</f>
        <v>100</v>
      </c>
      <c r="J130" s="19">
        <f ca="1">(Simulation!H130-Inputs!$D$13)/Inputs!$D$13*Inputs!$D$12</f>
        <v>-88130.571791032969</v>
      </c>
      <c r="K130" s="19">
        <f t="shared" ca="1" si="2"/>
        <v>1092.4908655756735</v>
      </c>
      <c r="L130" s="36">
        <f t="shared" ca="1" si="3"/>
        <v>-88130.571791032955</v>
      </c>
    </row>
    <row r="131" spans="7:12">
      <c r="G131" s="35">
        <f>Simulation!E131</f>
        <v>128</v>
      </c>
      <c r="H131" s="19">
        <f ca="1">Simulation!H131</f>
        <v>90.931874646651096</v>
      </c>
      <c r="I131" s="19">
        <f>Inputs!$D$13</f>
        <v>100</v>
      </c>
      <c r="J131" s="19">
        <f ca="1">(Simulation!H131-Inputs!$D$13)/Inputs!$D$13*Inputs!$D$12</f>
        <v>-90681.253533489042</v>
      </c>
      <c r="K131" s="19">
        <f t="shared" ca="1" si="2"/>
        <v>-2550.6817424560722</v>
      </c>
      <c r="L131" s="36">
        <f t="shared" ca="1" si="3"/>
        <v>-90681.253533489027</v>
      </c>
    </row>
    <row r="132" spans="7:12">
      <c r="G132" s="35">
        <f>Simulation!E132</f>
        <v>129</v>
      </c>
      <c r="H132" s="19">
        <f ca="1">Simulation!H132</f>
        <v>90.84753097228338</v>
      </c>
      <c r="I132" s="19">
        <f>Inputs!$D$13</f>
        <v>100</v>
      </c>
      <c r="J132" s="19">
        <f ca="1">(Simulation!H132-Inputs!$D$13)/Inputs!$D$13*Inputs!$D$12</f>
        <v>-91524.690277166199</v>
      </c>
      <c r="K132" s="19">
        <f t="shared" ca="1" si="2"/>
        <v>-843.43674367715721</v>
      </c>
      <c r="L132" s="36">
        <f t="shared" ca="1" si="3"/>
        <v>-91524.690277166184</v>
      </c>
    </row>
    <row r="133" spans="7:12">
      <c r="G133" s="35">
        <f>Simulation!E133</f>
        <v>130</v>
      </c>
      <c r="H133" s="19">
        <f ca="1">Simulation!H133</f>
        <v>91.165766517277902</v>
      </c>
      <c r="I133" s="19">
        <f>Inputs!$D$13</f>
        <v>100</v>
      </c>
      <c r="J133" s="19">
        <f ca="1">(Simulation!H133-Inputs!$D$13)/Inputs!$D$13*Inputs!$D$12</f>
        <v>-88342.334827220984</v>
      </c>
      <c r="K133" s="19">
        <f t="shared" ref="K133:K196" ca="1" si="4">J133-J132</f>
        <v>3182.3554499452148</v>
      </c>
      <c r="L133" s="36">
        <f t="shared" ref="L133:L196" ca="1" si="5">+L132+K133</f>
        <v>-88342.33482722097</v>
      </c>
    </row>
    <row r="134" spans="7:12">
      <c r="G134" s="35">
        <f>Simulation!E134</f>
        <v>131</v>
      </c>
      <c r="H134" s="19">
        <f ca="1">Simulation!H134</f>
        <v>91.316693871653072</v>
      </c>
      <c r="I134" s="19">
        <f>Inputs!$D$13</f>
        <v>100</v>
      </c>
      <c r="J134" s="19">
        <f ca="1">(Simulation!H134-Inputs!$D$13)/Inputs!$D$13*Inputs!$D$12</f>
        <v>-86833.061283469273</v>
      </c>
      <c r="K134" s="19">
        <f t="shared" ca="1" si="4"/>
        <v>1509.2735437517113</v>
      </c>
      <c r="L134" s="36">
        <f t="shared" ca="1" si="5"/>
        <v>-86833.061283469258</v>
      </c>
    </row>
    <row r="135" spans="7:12">
      <c r="G135" s="35">
        <f>Simulation!E135</f>
        <v>132</v>
      </c>
      <c r="H135" s="19">
        <f ca="1">Simulation!H135</f>
        <v>91.606589191005398</v>
      </c>
      <c r="I135" s="19">
        <f>Inputs!$D$13</f>
        <v>100</v>
      </c>
      <c r="J135" s="19">
        <f ca="1">(Simulation!H135-Inputs!$D$13)/Inputs!$D$13*Inputs!$D$12</f>
        <v>-83934.108089946021</v>
      </c>
      <c r="K135" s="19">
        <f t="shared" ca="1" si="4"/>
        <v>2898.9531935232517</v>
      </c>
      <c r="L135" s="36">
        <f t="shared" ca="1" si="5"/>
        <v>-83934.108089946007</v>
      </c>
    </row>
    <row r="136" spans="7:12">
      <c r="G136" s="35">
        <f>Simulation!E136</f>
        <v>133</v>
      </c>
      <c r="H136" s="19">
        <f ca="1">Simulation!H136</f>
        <v>91.092658851485794</v>
      </c>
      <c r="I136" s="19">
        <f>Inputs!$D$13</f>
        <v>100</v>
      </c>
      <c r="J136" s="19">
        <f ca="1">(Simulation!H136-Inputs!$D$13)/Inputs!$D$13*Inputs!$D$12</f>
        <v>-89073.41148514206</v>
      </c>
      <c r="K136" s="19">
        <f t="shared" ca="1" si="4"/>
        <v>-5139.3033951960388</v>
      </c>
      <c r="L136" s="36">
        <f t="shared" ca="1" si="5"/>
        <v>-89073.411485142045</v>
      </c>
    </row>
    <row r="137" spans="7:12">
      <c r="G137" s="35">
        <f>Simulation!E137</f>
        <v>134</v>
      </c>
      <c r="H137" s="19">
        <f ca="1">Simulation!H137</f>
        <v>92.578049489570361</v>
      </c>
      <c r="I137" s="19">
        <f>Inputs!$D$13</f>
        <v>100</v>
      </c>
      <c r="J137" s="19">
        <f ca="1">(Simulation!H137-Inputs!$D$13)/Inputs!$D$13*Inputs!$D$12</f>
        <v>-74219.505104296375</v>
      </c>
      <c r="K137" s="19">
        <f t="shared" ca="1" si="4"/>
        <v>14853.906380845685</v>
      </c>
      <c r="L137" s="36">
        <f t="shared" ca="1" si="5"/>
        <v>-74219.505104296361</v>
      </c>
    </row>
    <row r="138" spans="7:12">
      <c r="G138" s="35">
        <f>Simulation!E138</f>
        <v>135</v>
      </c>
      <c r="H138" s="19">
        <f ca="1">Simulation!H138</f>
        <v>92.828995442693227</v>
      </c>
      <c r="I138" s="19">
        <f>Inputs!$D$13</f>
        <v>100</v>
      </c>
      <c r="J138" s="19">
        <f ca="1">(Simulation!H138-Inputs!$D$13)/Inputs!$D$13*Inputs!$D$12</f>
        <v>-71710.045573067735</v>
      </c>
      <c r="K138" s="19">
        <f t="shared" ca="1" si="4"/>
        <v>2509.4595312286401</v>
      </c>
      <c r="L138" s="36">
        <f t="shared" ca="1" si="5"/>
        <v>-71710.04557306772</v>
      </c>
    </row>
    <row r="139" spans="7:12">
      <c r="G139" s="35">
        <f>Simulation!E139</f>
        <v>136</v>
      </c>
      <c r="H139" s="19">
        <f ca="1">Simulation!H139</f>
        <v>89.989251163595739</v>
      </c>
      <c r="I139" s="19">
        <f>Inputs!$D$13</f>
        <v>100</v>
      </c>
      <c r="J139" s="19">
        <f ca="1">(Simulation!H139-Inputs!$D$13)/Inputs!$D$13*Inputs!$D$12</f>
        <v>-100107.48836404261</v>
      </c>
      <c r="K139" s="19">
        <f t="shared" ca="1" si="4"/>
        <v>-28397.442790974877</v>
      </c>
      <c r="L139" s="36">
        <f t="shared" ca="1" si="5"/>
        <v>-100107.4883640426</v>
      </c>
    </row>
    <row r="140" spans="7:12">
      <c r="G140" s="35">
        <f>Simulation!E140</f>
        <v>137</v>
      </c>
      <c r="H140" s="19">
        <f ca="1">Simulation!H140</f>
        <v>89.24169126345501</v>
      </c>
      <c r="I140" s="19">
        <f>Inputs!$D$13</f>
        <v>100</v>
      </c>
      <c r="J140" s="19">
        <f ca="1">(Simulation!H140-Inputs!$D$13)/Inputs!$D$13*Inputs!$D$12</f>
        <v>-107583.0873654499</v>
      </c>
      <c r="K140" s="19">
        <f t="shared" ca="1" si="4"/>
        <v>-7475.5990014072886</v>
      </c>
      <c r="L140" s="36">
        <f t="shared" ca="1" si="5"/>
        <v>-107583.08736544989</v>
      </c>
    </row>
    <row r="141" spans="7:12">
      <c r="G141" s="35">
        <f>Simulation!E141</f>
        <v>138</v>
      </c>
      <c r="H141" s="19">
        <f ca="1">Simulation!H141</f>
        <v>89.958052306387387</v>
      </c>
      <c r="I141" s="19">
        <f>Inputs!$D$13</f>
        <v>100</v>
      </c>
      <c r="J141" s="19">
        <f ca="1">(Simulation!H141-Inputs!$D$13)/Inputs!$D$13*Inputs!$D$12</f>
        <v>-100419.47693612613</v>
      </c>
      <c r="K141" s="19">
        <f t="shared" ca="1" si="4"/>
        <v>7163.6104293237731</v>
      </c>
      <c r="L141" s="36">
        <f t="shared" ca="1" si="5"/>
        <v>-100419.47693612611</v>
      </c>
    </row>
    <row r="142" spans="7:12">
      <c r="G142" s="35">
        <f>Simulation!E142</f>
        <v>139</v>
      </c>
      <c r="H142" s="19">
        <f ca="1">Simulation!H142</f>
        <v>92.341227660761874</v>
      </c>
      <c r="I142" s="19">
        <f>Inputs!$D$13</f>
        <v>100</v>
      </c>
      <c r="J142" s="19">
        <f ca="1">(Simulation!H142-Inputs!$D$13)/Inputs!$D$13*Inputs!$D$12</f>
        <v>-76587.72339238126</v>
      </c>
      <c r="K142" s="19">
        <f t="shared" ca="1" si="4"/>
        <v>23831.753543744868</v>
      </c>
      <c r="L142" s="36">
        <f t="shared" ca="1" si="5"/>
        <v>-76587.723392381246</v>
      </c>
    </row>
    <row r="143" spans="7:12">
      <c r="G143" s="35">
        <f>Simulation!E143</f>
        <v>140</v>
      </c>
      <c r="H143" s="19">
        <f ca="1">Simulation!H143</f>
        <v>91.136286907358254</v>
      </c>
      <c r="I143" s="19">
        <f>Inputs!$D$13</f>
        <v>100</v>
      </c>
      <c r="J143" s="19">
        <f ca="1">(Simulation!H143-Inputs!$D$13)/Inputs!$D$13*Inputs!$D$12</f>
        <v>-88637.130926417449</v>
      </c>
      <c r="K143" s="19">
        <f t="shared" ca="1" si="4"/>
        <v>-12049.407534036189</v>
      </c>
      <c r="L143" s="36">
        <f t="shared" ca="1" si="5"/>
        <v>-88637.130926417434</v>
      </c>
    </row>
    <row r="144" spans="7:12">
      <c r="G144" s="35">
        <f>Simulation!E144</f>
        <v>141</v>
      </c>
      <c r="H144" s="19">
        <f ca="1">Simulation!H144</f>
        <v>91.794757317830772</v>
      </c>
      <c r="I144" s="19">
        <f>Inputs!$D$13</f>
        <v>100</v>
      </c>
      <c r="J144" s="19">
        <f ca="1">(Simulation!H144-Inputs!$D$13)/Inputs!$D$13*Inputs!$D$12</f>
        <v>-82052.426821692279</v>
      </c>
      <c r="K144" s="19">
        <f t="shared" ca="1" si="4"/>
        <v>6584.7041047251696</v>
      </c>
      <c r="L144" s="36">
        <f t="shared" ca="1" si="5"/>
        <v>-82052.426821692265</v>
      </c>
    </row>
    <row r="145" spans="7:12">
      <c r="G145" s="35">
        <f>Simulation!E145</f>
        <v>142</v>
      </c>
      <c r="H145" s="19">
        <f ca="1">Simulation!H145</f>
        <v>90.745248675831803</v>
      </c>
      <c r="I145" s="19">
        <f>Inputs!$D$13</f>
        <v>100</v>
      </c>
      <c r="J145" s="19">
        <f ca="1">(Simulation!H145-Inputs!$D$13)/Inputs!$D$13*Inputs!$D$12</f>
        <v>-92547.513241681969</v>
      </c>
      <c r="K145" s="19">
        <f t="shared" ca="1" si="4"/>
        <v>-10495.08641998969</v>
      </c>
      <c r="L145" s="36">
        <f t="shared" ca="1" si="5"/>
        <v>-92547.513241681954</v>
      </c>
    </row>
    <row r="146" spans="7:12">
      <c r="G146" s="35">
        <f>Simulation!E146</f>
        <v>143</v>
      </c>
      <c r="H146" s="19">
        <f ca="1">Simulation!H146</f>
        <v>89.390295475868683</v>
      </c>
      <c r="I146" s="19">
        <f>Inputs!$D$13</f>
        <v>100</v>
      </c>
      <c r="J146" s="19">
        <f ca="1">(Simulation!H146-Inputs!$D$13)/Inputs!$D$13*Inputs!$D$12</f>
        <v>-106097.04524131317</v>
      </c>
      <c r="K146" s="19">
        <f t="shared" ca="1" si="4"/>
        <v>-13549.531999631203</v>
      </c>
      <c r="L146" s="36">
        <f t="shared" ca="1" si="5"/>
        <v>-106097.04524131316</v>
      </c>
    </row>
    <row r="147" spans="7:12">
      <c r="G147" s="35">
        <f>Simulation!E147</f>
        <v>144</v>
      </c>
      <c r="H147" s="19">
        <f ca="1">Simulation!H147</f>
        <v>88.079654954857418</v>
      </c>
      <c r="I147" s="19">
        <f>Inputs!$D$13</f>
        <v>100</v>
      </c>
      <c r="J147" s="19">
        <f ca="1">(Simulation!H147-Inputs!$D$13)/Inputs!$D$13*Inputs!$D$12</f>
        <v>-119203.45045142583</v>
      </c>
      <c r="K147" s="19">
        <f t="shared" ca="1" si="4"/>
        <v>-13106.405210112658</v>
      </c>
      <c r="L147" s="36">
        <f t="shared" ca="1" si="5"/>
        <v>-119203.45045142582</v>
      </c>
    </row>
    <row r="148" spans="7:12">
      <c r="G148" s="35">
        <f>Simulation!E148</f>
        <v>145</v>
      </c>
      <c r="H148" s="19">
        <f ca="1">Simulation!H148</f>
        <v>87.980340423674917</v>
      </c>
      <c r="I148" s="19">
        <f>Inputs!$D$13</f>
        <v>100</v>
      </c>
      <c r="J148" s="19">
        <f ca="1">(Simulation!H148-Inputs!$D$13)/Inputs!$D$13*Inputs!$D$12</f>
        <v>-120196.59576325082</v>
      </c>
      <c r="K148" s="19">
        <f t="shared" ca="1" si="4"/>
        <v>-993.14531182499195</v>
      </c>
      <c r="L148" s="36">
        <f t="shared" ca="1" si="5"/>
        <v>-120196.59576325081</v>
      </c>
    </row>
    <row r="149" spans="7:12">
      <c r="G149" s="35">
        <f>Simulation!E149</f>
        <v>146</v>
      </c>
      <c r="H149" s="19">
        <f ca="1">Simulation!H149</f>
        <v>88.456925999857887</v>
      </c>
      <c r="I149" s="19">
        <f>Inputs!$D$13</f>
        <v>100</v>
      </c>
      <c r="J149" s="19">
        <f ca="1">(Simulation!H149-Inputs!$D$13)/Inputs!$D$13*Inputs!$D$12</f>
        <v>-115430.74000142113</v>
      </c>
      <c r="K149" s="19">
        <f t="shared" ca="1" si="4"/>
        <v>4765.8557618296909</v>
      </c>
      <c r="L149" s="36">
        <f t="shared" ca="1" si="5"/>
        <v>-115430.74000142112</v>
      </c>
    </row>
    <row r="150" spans="7:12">
      <c r="G150" s="35">
        <f>Simulation!E150</f>
        <v>147</v>
      </c>
      <c r="H150" s="19">
        <f ca="1">Simulation!H150</f>
        <v>88.812563860934347</v>
      </c>
      <c r="I150" s="19">
        <f>Inputs!$D$13</f>
        <v>100</v>
      </c>
      <c r="J150" s="19">
        <f ca="1">(Simulation!H150-Inputs!$D$13)/Inputs!$D$13*Inputs!$D$12</f>
        <v>-111874.36139065653</v>
      </c>
      <c r="K150" s="19">
        <f t="shared" ca="1" si="4"/>
        <v>3556.378610764601</v>
      </c>
      <c r="L150" s="36">
        <f t="shared" ca="1" si="5"/>
        <v>-111874.36139065652</v>
      </c>
    </row>
    <row r="151" spans="7:12">
      <c r="G151" s="35">
        <f>Simulation!E151</f>
        <v>148</v>
      </c>
      <c r="H151" s="19">
        <f ca="1">Simulation!H151</f>
        <v>89.106236288132138</v>
      </c>
      <c r="I151" s="19">
        <f>Inputs!$D$13</f>
        <v>100</v>
      </c>
      <c r="J151" s="19">
        <f ca="1">(Simulation!H151-Inputs!$D$13)/Inputs!$D$13*Inputs!$D$12</f>
        <v>-108937.63711867863</v>
      </c>
      <c r="K151" s="19">
        <f t="shared" ca="1" si="4"/>
        <v>2936.7242719779024</v>
      </c>
      <c r="L151" s="36">
        <f t="shared" ca="1" si="5"/>
        <v>-108937.63711867861</v>
      </c>
    </row>
    <row r="152" spans="7:12">
      <c r="G152" s="35">
        <f>Simulation!E152</f>
        <v>149</v>
      </c>
      <c r="H152" s="19">
        <f ca="1">Simulation!H152</f>
        <v>88.36501308427637</v>
      </c>
      <c r="I152" s="19">
        <f>Inputs!$D$13</f>
        <v>100</v>
      </c>
      <c r="J152" s="19">
        <f ca="1">(Simulation!H152-Inputs!$D$13)/Inputs!$D$13*Inputs!$D$12</f>
        <v>-116349.8691572363</v>
      </c>
      <c r="K152" s="19">
        <f t="shared" ca="1" si="4"/>
        <v>-7412.232038557675</v>
      </c>
      <c r="L152" s="36">
        <f t="shared" ca="1" si="5"/>
        <v>-116349.86915723629</v>
      </c>
    </row>
    <row r="153" spans="7:12">
      <c r="G153" s="35">
        <f>Simulation!E153</f>
        <v>150</v>
      </c>
      <c r="H153" s="19">
        <f ca="1">Simulation!H153</f>
        <v>88.832247759717305</v>
      </c>
      <c r="I153" s="19">
        <f>Inputs!$D$13</f>
        <v>100</v>
      </c>
      <c r="J153" s="19">
        <f ca="1">(Simulation!H153-Inputs!$D$13)/Inputs!$D$13*Inputs!$D$12</f>
        <v>-111677.52240282696</v>
      </c>
      <c r="K153" s="19">
        <f t="shared" ca="1" si="4"/>
        <v>4672.3467544093437</v>
      </c>
      <c r="L153" s="36">
        <f t="shared" ca="1" si="5"/>
        <v>-111677.52240282694</v>
      </c>
    </row>
    <row r="154" spans="7:12">
      <c r="G154" s="35">
        <f>Simulation!E154</f>
        <v>151</v>
      </c>
      <c r="H154" s="19">
        <f ca="1">Simulation!H154</f>
        <v>89.5073663550573</v>
      </c>
      <c r="I154" s="19">
        <f>Inputs!$D$13</f>
        <v>100</v>
      </c>
      <c r="J154" s="19">
        <f ca="1">(Simulation!H154-Inputs!$D$13)/Inputs!$D$13*Inputs!$D$12</f>
        <v>-104926.33644942701</v>
      </c>
      <c r="K154" s="19">
        <f t="shared" ca="1" si="4"/>
        <v>6751.1859533999523</v>
      </c>
      <c r="L154" s="36">
        <f t="shared" ca="1" si="5"/>
        <v>-104926.33644942699</v>
      </c>
    </row>
    <row r="155" spans="7:12">
      <c r="G155" s="35">
        <f>Simulation!E155</f>
        <v>152</v>
      </c>
      <c r="H155" s="19">
        <f ca="1">Simulation!H155</f>
        <v>87.99754988946404</v>
      </c>
      <c r="I155" s="19">
        <f>Inputs!$D$13</f>
        <v>100</v>
      </c>
      <c r="J155" s="19">
        <f ca="1">(Simulation!H155-Inputs!$D$13)/Inputs!$D$13*Inputs!$D$12</f>
        <v>-120024.5011053596</v>
      </c>
      <c r="K155" s="19">
        <f t="shared" ca="1" si="4"/>
        <v>-15098.164655932589</v>
      </c>
      <c r="L155" s="36">
        <f t="shared" ca="1" si="5"/>
        <v>-120024.50110535958</v>
      </c>
    </row>
    <row r="156" spans="7:12">
      <c r="G156" s="35">
        <f>Simulation!E156</f>
        <v>153</v>
      </c>
      <c r="H156" s="19">
        <f ca="1">Simulation!H156</f>
        <v>88.756274543839609</v>
      </c>
      <c r="I156" s="19">
        <f>Inputs!$D$13</f>
        <v>100</v>
      </c>
      <c r="J156" s="19">
        <f ca="1">(Simulation!H156-Inputs!$D$13)/Inputs!$D$13*Inputs!$D$12</f>
        <v>-112437.2545616039</v>
      </c>
      <c r="K156" s="19">
        <f t="shared" ca="1" si="4"/>
        <v>7587.2465437556966</v>
      </c>
      <c r="L156" s="36">
        <f t="shared" ca="1" si="5"/>
        <v>-112437.25456160388</v>
      </c>
    </row>
    <row r="157" spans="7:12">
      <c r="G157" s="35">
        <f>Simulation!E157</f>
        <v>154</v>
      </c>
      <c r="H157" s="19">
        <f ca="1">Simulation!H157</f>
        <v>91.230357087387461</v>
      </c>
      <c r="I157" s="19">
        <f>Inputs!$D$13</f>
        <v>100</v>
      </c>
      <c r="J157" s="19">
        <f ca="1">(Simulation!H157-Inputs!$D$13)/Inputs!$D$13*Inputs!$D$12</f>
        <v>-87696.429126125397</v>
      </c>
      <c r="K157" s="19">
        <f t="shared" ca="1" si="4"/>
        <v>24740.825435478502</v>
      </c>
      <c r="L157" s="36">
        <f t="shared" ca="1" si="5"/>
        <v>-87696.429126125382</v>
      </c>
    </row>
    <row r="158" spans="7:12">
      <c r="G158" s="35">
        <f>Simulation!E158</f>
        <v>155</v>
      </c>
      <c r="H158" s="19">
        <f ca="1">Simulation!H158</f>
        <v>92.087808456459072</v>
      </c>
      <c r="I158" s="19">
        <f>Inputs!$D$13</f>
        <v>100</v>
      </c>
      <c r="J158" s="19">
        <f ca="1">(Simulation!H158-Inputs!$D$13)/Inputs!$D$13*Inputs!$D$12</f>
        <v>-79121.915435409275</v>
      </c>
      <c r="K158" s="19">
        <f t="shared" ca="1" si="4"/>
        <v>8574.5136907161213</v>
      </c>
      <c r="L158" s="36">
        <f t="shared" ca="1" si="5"/>
        <v>-79121.915435409261</v>
      </c>
    </row>
    <row r="159" spans="7:12">
      <c r="G159" s="35">
        <f>Simulation!E159</f>
        <v>156</v>
      </c>
      <c r="H159" s="19">
        <f ca="1">Simulation!H159</f>
        <v>91.946145145903927</v>
      </c>
      <c r="I159" s="19">
        <f>Inputs!$D$13</f>
        <v>100</v>
      </c>
      <c r="J159" s="19">
        <f ca="1">(Simulation!H159-Inputs!$D$13)/Inputs!$D$13*Inputs!$D$12</f>
        <v>-80538.548540960735</v>
      </c>
      <c r="K159" s="19">
        <f t="shared" ca="1" si="4"/>
        <v>-1416.6331055514602</v>
      </c>
      <c r="L159" s="36">
        <f t="shared" ca="1" si="5"/>
        <v>-80538.548540960721</v>
      </c>
    </row>
    <row r="160" spans="7:12">
      <c r="G160" s="35">
        <f>Simulation!E160</f>
        <v>157</v>
      </c>
      <c r="H160" s="19">
        <f ca="1">Simulation!H160</f>
        <v>91.198003359298099</v>
      </c>
      <c r="I160" s="19">
        <f>Inputs!$D$13</f>
        <v>100</v>
      </c>
      <c r="J160" s="19">
        <f ca="1">(Simulation!H160-Inputs!$D$13)/Inputs!$D$13*Inputs!$D$12</f>
        <v>-88019.966407019005</v>
      </c>
      <c r="K160" s="19">
        <f t="shared" ca="1" si="4"/>
        <v>-7481.4178660582693</v>
      </c>
      <c r="L160" s="36">
        <f t="shared" ca="1" si="5"/>
        <v>-88019.96640701899</v>
      </c>
    </row>
    <row r="161" spans="7:12">
      <c r="G161" s="35">
        <f>Simulation!E161</f>
        <v>158</v>
      </c>
      <c r="H161" s="19">
        <f ca="1">Simulation!H161</f>
        <v>90.336027242062372</v>
      </c>
      <c r="I161" s="19">
        <f>Inputs!$D$13</f>
        <v>100</v>
      </c>
      <c r="J161" s="19">
        <f ca="1">(Simulation!H161-Inputs!$D$13)/Inputs!$D$13*Inputs!$D$12</f>
        <v>-96639.727579376282</v>
      </c>
      <c r="K161" s="19">
        <f t="shared" ca="1" si="4"/>
        <v>-8619.7611723572772</v>
      </c>
      <c r="L161" s="36">
        <f t="shared" ca="1" si="5"/>
        <v>-96639.727579376267</v>
      </c>
    </row>
    <row r="162" spans="7:12">
      <c r="G162" s="35">
        <f>Simulation!E162</f>
        <v>159</v>
      </c>
      <c r="H162" s="19">
        <f ca="1">Simulation!H162</f>
        <v>89.654590465899517</v>
      </c>
      <c r="I162" s="19">
        <f>Inputs!$D$13</f>
        <v>100</v>
      </c>
      <c r="J162" s="19">
        <f ca="1">(Simulation!H162-Inputs!$D$13)/Inputs!$D$13*Inputs!$D$12</f>
        <v>-103454.09534100482</v>
      </c>
      <c r="K162" s="19">
        <f t="shared" ca="1" si="4"/>
        <v>-6814.3677616285422</v>
      </c>
      <c r="L162" s="36">
        <f t="shared" ca="1" si="5"/>
        <v>-103454.09534100481</v>
      </c>
    </row>
    <row r="163" spans="7:12">
      <c r="G163" s="35">
        <f>Simulation!E163</f>
        <v>160</v>
      </c>
      <c r="H163" s="19">
        <f ca="1">Simulation!H163</f>
        <v>88.620585244218134</v>
      </c>
      <c r="I163" s="19">
        <f>Inputs!$D$13</f>
        <v>100</v>
      </c>
      <c r="J163" s="19">
        <f ca="1">(Simulation!H163-Inputs!$D$13)/Inputs!$D$13*Inputs!$D$12</f>
        <v>-113794.14755781867</v>
      </c>
      <c r="K163" s="19">
        <f t="shared" ca="1" si="4"/>
        <v>-10340.052216813841</v>
      </c>
      <c r="L163" s="36">
        <f t="shared" ca="1" si="5"/>
        <v>-113794.14755781865</v>
      </c>
    </row>
    <row r="164" spans="7:12">
      <c r="G164" s="35">
        <f>Simulation!E164</f>
        <v>161</v>
      </c>
      <c r="H164" s="19">
        <f ca="1">Simulation!H164</f>
        <v>88.819566866681669</v>
      </c>
      <c r="I164" s="19">
        <f>Inputs!$D$13</f>
        <v>100</v>
      </c>
      <c r="J164" s="19">
        <f ca="1">(Simulation!H164-Inputs!$D$13)/Inputs!$D$13*Inputs!$D$12</f>
        <v>-111804.33133318331</v>
      </c>
      <c r="K164" s="19">
        <f t="shared" ca="1" si="4"/>
        <v>1989.8162246353604</v>
      </c>
      <c r="L164" s="36">
        <f t="shared" ca="1" si="5"/>
        <v>-111804.33133318329</v>
      </c>
    </row>
    <row r="165" spans="7:12">
      <c r="G165" s="35">
        <f>Simulation!E165</f>
        <v>162</v>
      </c>
      <c r="H165" s="19">
        <f ca="1">Simulation!H165</f>
        <v>89.162058475416956</v>
      </c>
      <c r="I165" s="19">
        <f>Inputs!$D$13</f>
        <v>100</v>
      </c>
      <c r="J165" s="19">
        <f ca="1">(Simulation!H165-Inputs!$D$13)/Inputs!$D$13*Inputs!$D$12</f>
        <v>-108379.41524583045</v>
      </c>
      <c r="K165" s="19">
        <f t="shared" ca="1" si="4"/>
        <v>3424.9160873528599</v>
      </c>
      <c r="L165" s="36">
        <f t="shared" ca="1" si="5"/>
        <v>-108379.41524583043</v>
      </c>
    </row>
    <row r="166" spans="7:12">
      <c r="G166" s="35">
        <f>Simulation!E166</f>
        <v>163</v>
      </c>
      <c r="H166" s="19">
        <f ca="1">Simulation!H166</f>
        <v>87.857956728528208</v>
      </c>
      <c r="I166" s="19">
        <f>Inputs!$D$13</f>
        <v>100</v>
      </c>
      <c r="J166" s="19">
        <f ca="1">(Simulation!H166-Inputs!$D$13)/Inputs!$D$13*Inputs!$D$12</f>
        <v>-121420.43271471791</v>
      </c>
      <c r="K166" s="19">
        <f t="shared" ca="1" si="4"/>
        <v>-13041.017468887469</v>
      </c>
      <c r="L166" s="36">
        <f t="shared" ca="1" si="5"/>
        <v>-121420.4327147179</v>
      </c>
    </row>
    <row r="167" spans="7:12">
      <c r="G167" s="35">
        <f>Simulation!E167</f>
        <v>164</v>
      </c>
      <c r="H167" s="19">
        <f ca="1">Simulation!H167</f>
        <v>87.185380233808345</v>
      </c>
      <c r="I167" s="19">
        <f>Inputs!$D$13</f>
        <v>100</v>
      </c>
      <c r="J167" s="19">
        <f ca="1">(Simulation!H167-Inputs!$D$13)/Inputs!$D$13*Inputs!$D$12</f>
        <v>-128146.19766191654</v>
      </c>
      <c r="K167" s="19">
        <f t="shared" ca="1" si="4"/>
        <v>-6725.7649471986224</v>
      </c>
      <c r="L167" s="36">
        <f t="shared" ca="1" si="5"/>
        <v>-128146.19766191652</v>
      </c>
    </row>
    <row r="168" spans="7:12">
      <c r="G168" s="35">
        <f>Simulation!E168</f>
        <v>165</v>
      </c>
      <c r="H168" s="19">
        <f ca="1">Simulation!H168</f>
        <v>88.627126776966648</v>
      </c>
      <c r="I168" s="19">
        <f>Inputs!$D$13</f>
        <v>100</v>
      </c>
      <c r="J168" s="19">
        <f ca="1">(Simulation!H168-Inputs!$D$13)/Inputs!$D$13*Inputs!$D$12</f>
        <v>-113728.73223033351</v>
      </c>
      <c r="K168" s="19">
        <f t="shared" ca="1" si="4"/>
        <v>14417.465431583027</v>
      </c>
      <c r="L168" s="36">
        <f t="shared" ca="1" si="5"/>
        <v>-113728.73223033349</v>
      </c>
    </row>
    <row r="169" spans="7:12">
      <c r="G169" s="35">
        <f>Simulation!E169</f>
        <v>166</v>
      </c>
      <c r="H169" s="19">
        <f ca="1">Simulation!H169</f>
        <v>88.604905445460886</v>
      </c>
      <c r="I169" s="19">
        <f>Inputs!$D$13</f>
        <v>100</v>
      </c>
      <c r="J169" s="19">
        <f ca="1">(Simulation!H169-Inputs!$D$13)/Inputs!$D$13*Inputs!$D$12</f>
        <v>-113950.94554539114</v>
      </c>
      <c r="K169" s="19">
        <f t="shared" ca="1" si="4"/>
        <v>-222.21331505762646</v>
      </c>
      <c r="L169" s="36">
        <f t="shared" ca="1" si="5"/>
        <v>-113950.94554539112</v>
      </c>
    </row>
    <row r="170" spans="7:12">
      <c r="G170" s="35">
        <f>Simulation!E170</f>
        <v>167</v>
      </c>
      <c r="H170" s="19">
        <f ca="1">Simulation!H170</f>
        <v>88.588417567218372</v>
      </c>
      <c r="I170" s="19">
        <f>Inputs!$D$13</f>
        <v>100</v>
      </c>
      <c r="J170" s="19">
        <f ca="1">(Simulation!H170-Inputs!$D$13)/Inputs!$D$13*Inputs!$D$12</f>
        <v>-114115.82432781628</v>
      </c>
      <c r="K170" s="19">
        <f t="shared" ca="1" si="4"/>
        <v>-164.87878242514853</v>
      </c>
      <c r="L170" s="36">
        <f t="shared" ca="1" si="5"/>
        <v>-114115.82432781627</v>
      </c>
    </row>
    <row r="171" spans="7:12">
      <c r="G171" s="35">
        <f>Simulation!E171</f>
        <v>168</v>
      </c>
      <c r="H171" s="19">
        <f ca="1">Simulation!H171</f>
        <v>86.047057156257281</v>
      </c>
      <c r="I171" s="19">
        <f>Inputs!$D$13</f>
        <v>100</v>
      </c>
      <c r="J171" s="19">
        <f ca="1">(Simulation!H171-Inputs!$D$13)/Inputs!$D$13*Inputs!$D$12</f>
        <v>-139529.42843742718</v>
      </c>
      <c r="K171" s="19">
        <f t="shared" ca="1" si="4"/>
        <v>-25413.604109610897</v>
      </c>
      <c r="L171" s="36">
        <f t="shared" ca="1" si="5"/>
        <v>-139529.42843742715</v>
      </c>
    </row>
    <row r="172" spans="7:12">
      <c r="G172" s="35">
        <f>Simulation!E172</f>
        <v>169</v>
      </c>
      <c r="H172" s="19">
        <f ca="1">Simulation!H172</f>
        <v>86.067412340940365</v>
      </c>
      <c r="I172" s="19">
        <f>Inputs!$D$13</f>
        <v>100</v>
      </c>
      <c r="J172" s="19">
        <f ca="1">(Simulation!H172-Inputs!$D$13)/Inputs!$D$13*Inputs!$D$12</f>
        <v>-139325.87659059637</v>
      </c>
      <c r="K172" s="19">
        <f t="shared" ca="1" si="4"/>
        <v>203.55184683081461</v>
      </c>
      <c r="L172" s="36">
        <f t="shared" ca="1" si="5"/>
        <v>-139325.87659059634</v>
      </c>
    </row>
    <row r="173" spans="7:12">
      <c r="G173" s="35">
        <f>Simulation!E173</f>
        <v>170</v>
      </c>
      <c r="H173" s="19">
        <f ca="1">Simulation!H173</f>
        <v>84.317124784619764</v>
      </c>
      <c r="I173" s="19">
        <f>Inputs!$D$13</f>
        <v>100</v>
      </c>
      <c r="J173" s="19">
        <f ca="1">(Simulation!H173-Inputs!$D$13)/Inputs!$D$13*Inputs!$D$12</f>
        <v>-156828.75215380234</v>
      </c>
      <c r="K173" s="19">
        <f t="shared" ca="1" si="4"/>
        <v>-17502.875563205977</v>
      </c>
      <c r="L173" s="36">
        <f t="shared" ca="1" si="5"/>
        <v>-156828.75215380231</v>
      </c>
    </row>
    <row r="174" spans="7:12">
      <c r="G174" s="35">
        <f>Simulation!E174</f>
        <v>171</v>
      </c>
      <c r="H174" s="19">
        <f ca="1">Simulation!H174</f>
        <v>85.037030387670569</v>
      </c>
      <c r="I174" s="19">
        <f>Inputs!$D$13</f>
        <v>100</v>
      </c>
      <c r="J174" s="19">
        <f ca="1">(Simulation!H174-Inputs!$D$13)/Inputs!$D$13*Inputs!$D$12</f>
        <v>-149629.6961232943</v>
      </c>
      <c r="K174" s="19">
        <f t="shared" ca="1" si="4"/>
        <v>7199.0560305080435</v>
      </c>
      <c r="L174" s="36">
        <f t="shared" ca="1" si="5"/>
        <v>-149629.69612329427</v>
      </c>
    </row>
    <row r="175" spans="7:12">
      <c r="G175" s="35">
        <f>Simulation!E175</f>
        <v>172</v>
      </c>
      <c r="H175" s="19">
        <f ca="1">Simulation!H175</f>
        <v>84.177289379274882</v>
      </c>
      <c r="I175" s="19">
        <f>Inputs!$D$13</f>
        <v>100</v>
      </c>
      <c r="J175" s="19">
        <f ca="1">(Simulation!H175-Inputs!$D$13)/Inputs!$D$13*Inputs!$D$12</f>
        <v>-158227.1062072512</v>
      </c>
      <c r="K175" s="19">
        <f t="shared" ca="1" si="4"/>
        <v>-8597.4100839569001</v>
      </c>
      <c r="L175" s="36">
        <f t="shared" ca="1" si="5"/>
        <v>-158227.10620725117</v>
      </c>
    </row>
    <row r="176" spans="7:12">
      <c r="G176" s="35">
        <f>Simulation!E176</f>
        <v>173</v>
      </c>
      <c r="H176" s="19">
        <f ca="1">Simulation!H176</f>
        <v>86.134115761471051</v>
      </c>
      <c r="I176" s="19">
        <f>Inputs!$D$13</f>
        <v>100</v>
      </c>
      <c r="J176" s="19">
        <f ca="1">(Simulation!H176-Inputs!$D$13)/Inputs!$D$13*Inputs!$D$12</f>
        <v>-138658.84238528949</v>
      </c>
      <c r="K176" s="19">
        <f t="shared" ca="1" si="4"/>
        <v>19568.263821961707</v>
      </c>
      <c r="L176" s="36">
        <f t="shared" ca="1" si="5"/>
        <v>-138658.84238528946</v>
      </c>
    </row>
    <row r="177" spans="7:12">
      <c r="G177" s="35">
        <f>Simulation!E177</f>
        <v>174</v>
      </c>
      <c r="H177" s="19">
        <f ca="1">Simulation!H177</f>
        <v>87.029961157760525</v>
      </c>
      <c r="I177" s="19">
        <f>Inputs!$D$13</f>
        <v>100</v>
      </c>
      <c r="J177" s="19">
        <f ca="1">(Simulation!H177-Inputs!$D$13)/Inputs!$D$13*Inputs!$D$12</f>
        <v>-129700.38842239475</v>
      </c>
      <c r="K177" s="19">
        <f t="shared" ca="1" si="4"/>
        <v>8958.4539628947387</v>
      </c>
      <c r="L177" s="36">
        <f t="shared" ca="1" si="5"/>
        <v>-129700.38842239472</v>
      </c>
    </row>
    <row r="178" spans="7:12">
      <c r="G178" s="35">
        <f>Simulation!E178</f>
        <v>175</v>
      </c>
      <c r="H178" s="19">
        <f ca="1">Simulation!H178</f>
        <v>87.713324262969024</v>
      </c>
      <c r="I178" s="19">
        <f>Inputs!$D$13</f>
        <v>100</v>
      </c>
      <c r="J178" s="19">
        <f ca="1">(Simulation!H178-Inputs!$D$13)/Inputs!$D$13*Inputs!$D$12</f>
        <v>-122866.75737030976</v>
      </c>
      <c r="K178" s="19">
        <f t="shared" ca="1" si="4"/>
        <v>6833.6310520849947</v>
      </c>
      <c r="L178" s="36">
        <f t="shared" ca="1" si="5"/>
        <v>-122866.75737030973</v>
      </c>
    </row>
    <row r="179" spans="7:12">
      <c r="G179" s="35">
        <f>Simulation!E179</f>
        <v>176</v>
      </c>
      <c r="H179" s="19">
        <f ca="1">Simulation!H179</f>
        <v>86.222570800178858</v>
      </c>
      <c r="I179" s="19">
        <f>Inputs!$D$13</f>
        <v>100</v>
      </c>
      <c r="J179" s="19">
        <f ca="1">(Simulation!H179-Inputs!$D$13)/Inputs!$D$13*Inputs!$D$12</f>
        <v>-137774.29199821141</v>
      </c>
      <c r="K179" s="19">
        <f t="shared" ca="1" si="4"/>
        <v>-14907.534627901652</v>
      </c>
      <c r="L179" s="36">
        <f t="shared" ca="1" si="5"/>
        <v>-137774.29199821138</v>
      </c>
    </row>
    <row r="180" spans="7:12">
      <c r="G180" s="35">
        <f>Simulation!E180</f>
        <v>177</v>
      </c>
      <c r="H180" s="19">
        <f ca="1">Simulation!H180</f>
        <v>86.617664785379176</v>
      </c>
      <c r="I180" s="19">
        <f>Inputs!$D$13</f>
        <v>100</v>
      </c>
      <c r="J180" s="19">
        <f ca="1">(Simulation!H180-Inputs!$D$13)/Inputs!$D$13*Inputs!$D$12</f>
        <v>-133823.35214620826</v>
      </c>
      <c r="K180" s="19">
        <f t="shared" ca="1" si="4"/>
        <v>3950.9398520031536</v>
      </c>
      <c r="L180" s="36">
        <f t="shared" ca="1" si="5"/>
        <v>-133823.35214620823</v>
      </c>
    </row>
    <row r="181" spans="7:12">
      <c r="G181" s="35">
        <f>Simulation!E181</f>
        <v>178</v>
      </c>
      <c r="H181" s="19">
        <f ca="1">Simulation!H181</f>
        <v>84.94308989967962</v>
      </c>
      <c r="I181" s="19">
        <f>Inputs!$D$13</f>
        <v>100</v>
      </c>
      <c r="J181" s="19">
        <f ca="1">(Simulation!H181-Inputs!$D$13)/Inputs!$D$13*Inputs!$D$12</f>
        <v>-150569.1010032038</v>
      </c>
      <c r="K181" s="19">
        <f t="shared" ca="1" si="4"/>
        <v>-16745.748856995546</v>
      </c>
      <c r="L181" s="36">
        <f t="shared" ca="1" si="5"/>
        <v>-150569.10100320377</v>
      </c>
    </row>
    <row r="182" spans="7:12">
      <c r="G182" s="35">
        <f>Simulation!E182</f>
        <v>179</v>
      </c>
      <c r="H182" s="19">
        <f ca="1">Simulation!H182</f>
        <v>84.599240957590482</v>
      </c>
      <c r="I182" s="19">
        <f>Inputs!$D$13</f>
        <v>100</v>
      </c>
      <c r="J182" s="19">
        <f ca="1">(Simulation!H182-Inputs!$D$13)/Inputs!$D$13*Inputs!$D$12</f>
        <v>-154007.59042409516</v>
      </c>
      <c r="K182" s="19">
        <f t="shared" ca="1" si="4"/>
        <v>-3438.4894208913611</v>
      </c>
      <c r="L182" s="36">
        <f t="shared" ca="1" si="5"/>
        <v>-154007.59042409513</v>
      </c>
    </row>
    <row r="183" spans="7:12">
      <c r="G183" s="35">
        <f>Simulation!E183</f>
        <v>180</v>
      </c>
      <c r="H183" s="19">
        <f ca="1">Simulation!H183</f>
        <v>83.706996019608198</v>
      </c>
      <c r="I183" s="19">
        <f>Inputs!$D$13</f>
        <v>100</v>
      </c>
      <c r="J183" s="19">
        <f ca="1">(Simulation!H183-Inputs!$D$13)/Inputs!$D$13*Inputs!$D$12</f>
        <v>-162930.03980391801</v>
      </c>
      <c r="K183" s="19">
        <f t="shared" ca="1" si="4"/>
        <v>-8922.4493798228505</v>
      </c>
      <c r="L183" s="36">
        <f t="shared" ca="1" si="5"/>
        <v>-162930.03980391799</v>
      </c>
    </row>
    <row r="184" spans="7:12">
      <c r="G184" s="35">
        <f>Simulation!E184</f>
        <v>181</v>
      </c>
      <c r="H184" s="19">
        <f ca="1">Simulation!H184</f>
        <v>81.706500769265389</v>
      </c>
      <c r="I184" s="19">
        <f>Inputs!$D$13</f>
        <v>100</v>
      </c>
      <c r="J184" s="19">
        <f ca="1">(Simulation!H184-Inputs!$D$13)/Inputs!$D$13*Inputs!$D$12</f>
        <v>-182934.99230734611</v>
      </c>
      <c r="K184" s="19">
        <f t="shared" ca="1" si="4"/>
        <v>-20004.952503428096</v>
      </c>
      <c r="L184" s="36">
        <f t="shared" ca="1" si="5"/>
        <v>-182934.99230734608</v>
      </c>
    </row>
    <row r="185" spans="7:12">
      <c r="G185" s="35">
        <f>Simulation!E185</f>
        <v>182</v>
      </c>
      <c r="H185" s="19">
        <f ca="1">Simulation!H185</f>
        <v>81.426370541112334</v>
      </c>
      <c r="I185" s="19">
        <f>Inputs!$D$13</f>
        <v>100</v>
      </c>
      <c r="J185" s="19">
        <f ca="1">(Simulation!H185-Inputs!$D$13)/Inputs!$D$13*Inputs!$D$12</f>
        <v>-185736.29458887666</v>
      </c>
      <c r="K185" s="19">
        <f t="shared" ca="1" si="4"/>
        <v>-2801.3022815305449</v>
      </c>
      <c r="L185" s="36">
        <f t="shared" ca="1" si="5"/>
        <v>-185736.29458887663</v>
      </c>
    </row>
    <row r="186" spans="7:12">
      <c r="G186" s="35">
        <f>Simulation!E186</f>
        <v>183</v>
      </c>
      <c r="H186" s="19">
        <f ca="1">Simulation!H186</f>
        <v>79.928464614791636</v>
      </c>
      <c r="I186" s="19">
        <f>Inputs!$D$13</f>
        <v>100</v>
      </c>
      <c r="J186" s="19">
        <f ca="1">(Simulation!H186-Inputs!$D$13)/Inputs!$D$13*Inputs!$D$12</f>
        <v>-200715.35385208364</v>
      </c>
      <c r="K186" s="19">
        <f t="shared" ca="1" si="4"/>
        <v>-14979.059263206989</v>
      </c>
      <c r="L186" s="36">
        <f t="shared" ca="1" si="5"/>
        <v>-200715.35385208362</v>
      </c>
    </row>
    <row r="187" spans="7:12">
      <c r="G187" s="35">
        <f>Simulation!E187</f>
        <v>184</v>
      </c>
      <c r="H187" s="19">
        <f ca="1">Simulation!H187</f>
        <v>78.901796818080484</v>
      </c>
      <c r="I187" s="19">
        <f>Inputs!$D$13</f>
        <v>100</v>
      </c>
      <c r="J187" s="19">
        <f ca="1">(Simulation!H187-Inputs!$D$13)/Inputs!$D$13*Inputs!$D$12</f>
        <v>-210982.03181919517</v>
      </c>
      <c r="K187" s="19">
        <f t="shared" ca="1" si="4"/>
        <v>-10266.677967111522</v>
      </c>
      <c r="L187" s="36">
        <f t="shared" ca="1" si="5"/>
        <v>-210982.03181919514</v>
      </c>
    </row>
    <row r="188" spans="7:12">
      <c r="G188" s="35">
        <f>Simulation!E188</f>
        <v>185</v>
      </c>
      <c r="H188" s="19">
        <f ca="1">Simulation!H188</f>
        <v>79.011094226428042</v>
      </c>
      <c r="I188" s="19">
        <f>Inputs!$D$13</f>
        <v>100</v>
      </c>
      <c r="J188" s="19">
        <f ca="1">(Simulation!H188-Inputs!$D$13)/Inputs!$D$13*Inputs!$D$12</f>
        <v>-209889.05773571957</v>
      </c>
      <c r="K188" s="19">
        <f t="shared" ca="1" si="4"/>
        <v>1092.9740834755939</v>
      </c>
      <c r="L188" s="36">
        <f t="shared" ca="1" si="5"/>
        <v>-209889.05773571954</v>
      </c>
    </row>
    <row r="189" spans="7:12">
      <c r="G189" s="35">
        <f>Simulation!E189</f>
        <v>186</v>
      </c>
      <c r="H189" s="19">
        <f ca="1">Simulation!H189</f>
        <v>79.047723642365128</v>
      </c>
      <c r="I189" s="19">
        <f>Inputs!$D$13</f>
        <v>100</v>
      </c>
      <c r="J189" s="19">
        <f ca="1">(Simulation!H189-Inputs!$D$13)/Inputs!$D$13*Inputs!$D$12</f>
        <v>-209522.76357634872</v>
      </c>
      <c r="K189" s="19">
        <f t="shared" ca="1" si="4"/>
        <v>366.29415937085287</v>
      </c>
      <c r="L189" s="36">
        <f t="shared" ca="1" si="5"/>
        <v>-209522.76357634869</v>
      </c>
    </row>
    <row r="190" spans="7:12">
      <c r="G190" s="35">
        <f>Simulation!E190</f>
        <v>187</v>
      </c>
      <c r="H190" s="19">
        <f ca="1">Simulation!H190</f>
        <v>78.804910003548642</v>
      </c>
      <c r="I190" s="19">
        <f>Inputs!$D$13</f>
        <v>100</v>
      </c>
      <c r="J190" s="19">
        <f ca="1">(Simulation!H190-Inputs!$D$13)/Inputs!$D$13*Inputs!$D$12</f>
        <v>-211950.89996451358</v>
      </c>
      <c r="K190" s="19">
        <f t="shared" ca="1" si="4"/>
        <v>-2428.1363881648576</v>
      </c>
      <c r="L190" s="36">
        <f t="shared" ca="1" si="5"/>
        <v>-211950.89996451355</v>
      </c>
    </row>
    <row r="191" spans="7:12">
      <c r="G191" s="35">
        <f>Simulation!E191</f>
        <v>188</v>
      </c>
      <c r="H191" s="19">
        <f ca="1">Simulation!H191</f>
        <v>80.253266009340194</v>
      </c>
      <c r="I191" s="19">
        <f>Inputs!$D$13</f>
        <v>100</v>
      </c>
      <c r="J191" s="19">
        <f ca="1">(Simulation!H191-Inputs!$D$13)/Inputs!$D$13*Inputs!$D$12</f>
        <v>-197467.33990659806</v>
      </c>
      <c r="K191" s="19">
        <f t="shared" ca="1" si="4"/>
        <v>14483.560057915514</v>
      </c>
      <c r="L191" s="36">
        <f t="shared" ca="1" si="5"/>
        <v>-197467.33990659803</v>
      </c>
    </row>
    <row r="192" spans="7:12">
      <c r="G192" s="35">
        <f>Simulation!E192</f>
        <v>189</v>
      </c>
      <c r="H192" s="19">
        <f ca="1">Simulation!H192</f>
        <v>78.935427616007757</v>
      </c>
      <c r="I192" s="19">
        <f>Inputs!$D$13</f>
        <v>100</v>
      </c>
      <c r="J192" s="19">
        <f ca="1">(Simulation!H192-Inputs!$D$13)/Inputs!$D$13*Inputs!$D$12</f>
        <v>-210645.72383992243</v>
      </c>
      <c r="K192" s="19">
        <f t="shared" ca="1" si="4"/>
        <v>-13178.383933324367</v>
      </c>
      <c r="L192" s="36">
        <f t="shared" ca="1" si="5"/>
        <v>-210645.7238399224</v>
      </c>
    </row>
    <row r="193" spans="7:12">
      <c r="G193" s="35">
        <f>Simulation!E193</f>
        <v>190</v>
      </c>
      <c r="H193" s="19">
        <f ca="1">Simulation!H193</f>
        <v>81.837368015103579</v>
      </c>
      <c r="I193" s="19">
        <f>Inputs!$D$13</f>
        <v>100</v>
      </c>
      <c r="J193" s="19">
        <f ca="1">(Simulation!H193-Inputs!$D$13)/Inputs!$D$13*Inputs!$D$12</f>
        <v>-181626.31984896422</v>
      </c>
      <c r="K193" s="19">
        <f t="shared" ca="1" si="4"/>
        <v>29019.403990958206</v>
      </c>
      <c r="L193" s="36">
        <f t="shared" ca="1" si="5"/>
        <v>-181626.31984896419</v>
      </c>
    </row>
    <row r="194" spans="7:12">
      <c r="G194" s="35">
        <f>Simulation!E194</f>
        <v>191</v>
      </c>
      <c r="H194" s="19">
        <f ca="1">Simulation!H194</f>
        <v>80.96720768992239</v>
      </c>
      <c r="I194" s="19">
        <f>Inputs!$D$13</f>
        <v>100</v>
      </c>
      <c r="J194" s="19">
        <f ca="1">(Simulation!H194-Inputs!$D$13)/Inputs!$D$13*Inputs!$D$12</f>
        <v>-190327.9231007761</v>
      </c>
      <c r="K194" s="19">
        <f t="shared" ca="1" si="4"/>
        <v>-8701.6032518118736</v>
      </c>
      <c r="L194" s="36">
        <f t="shared" ca="1" si="5"/>
        <v>-190327.92310077607</v>
      </c>
    </row>
    <row r="195" spans="7:12">
      <c r="G195" s="35">
        <f>Simulation!E195</f>
        <v>192</v>
      </c>
      <c r="H195" s="19">
        <f ca="1">Simulation!H195</f>
        <v>81.127477272375629</v>
      </c>
      <c r="I195" s="19">
        <f>Inputs!$D$13</f>
        <v>100</v>
      </c>
      <c r="J195" s="19">
        <f ca="1">(Simulation!H195-Inputs!$D$13)/Inputs!$D$13*Inputs!$D$12</f>
        <v>-188725.22727624371</v>
      </c>
      <c r="K195" s="19">
        <f t="shared" ca="1" si="4"/>
        <v>1602.6958245323913</v>
      </c>
      <c r="L195" s="36">
        <f t="shared" ca="1" si="5"/>
        <v>-188725.22727624368</v>
      </c>
    </row>
    <row r="196" spans="7:12">
      <c r="G196" s="35">
        <f>Simulation!E196</f>
        <v>193</v>
      </c>
      <c r="H196" s="19">
        <f ca="1">Simulation!H196</f>
        <v>81.257401869085413</v>
      </c>
      <c r="I196" s="19">
        <f>Inputs!$D$13</f>
        <v>100</v>
      </c>
      <c r="J196" s="19">
        <f ca="1">(Simulation!H196-Inputs!$D$13)/Inputs!$D$13*Inputs!$D$12</f>
        <v>-187425.98130914586</v>
      </c>
      <c r="K196" s="19">
        <f t="shared" ca="1" si="4"/>
        <v>1299.2459670978424</v>
      </c>
      <c r="L196" s="36">
        <f t="shared" ca="1" si="5"/>
        <v>-187425.98130914583</v>
      </c>
    </row>
    <row r="197" spans="7:12">
      <c r="G197" s="35">
        <f>Simulation!E197</f>
        <v>194</v>
      </c>
      <c r="H197" s="19">
        <f ca="1">Simulation!H197</f>
        <v>81.148224571947281</v>
      </c>
      <c r="I197" s="19">
        <f>Inputs!$D$13</f>
        <v>100</v>
      </c>
      <c r="J197" s="19">
        <f ca="1">(Simulation!H197-Inputs!$D$13)/Inputs!$D$13*Inputs!$D$12</f>
        <v>-188517.75428052718</v>
      </c>
      <c r="K197" s="19">
        <f t="shared" ref="K197:K255" ca="1" si="6">J197-J196</f>
        <v>-1091.7729713813169</v>
      </c>
      <c r="L197" s="36">
        <f t="shared" ref="L197:L255" ca="1" si="7">+L196+K197</f>
        <v>-188517.75428052715</v>
      </c>
    </row>
    <row r="198" spans="7:12">
      <c r="G198" s="35">
        <f>Simulation!E198</f>
        <v>195</v>
      </c>
      <c r="H198" s="19">
        <f ca="1">Simulation!H198</f>
        <v>81.566946673566932</v>
      </c>
      <c r="I198" s="19">
        <f>Inputs!$D$13</f>
        <v>100</v>
      </c>
      <c r="J198" s="19">
        <f ca="1">(Simulation!H198-Inputs!$D$13)/Inputs!$D$13*Inputs!$D$12</f>
        <v>-184330.53326433068</v>
      </c>
      <c r="K198" s="19">
        <f t="shared" ca="1" si="6"/>
        <v>4187.2210161965049</v>
      </c>
      <c r="L198" s="36">
        <f t="shared" ca="1" si="7"/>
        <v>-184330.53326433065</v>
      </c>
    </row>
    <row r="199" spans="7:12">
      <c r="G199" s="35">
        <f>Simulation!E199</f>
        <v>196</v>
      </c>
      <c r="H199" s="19">
        <f ca="1">Simulation!H199</f>
        <v>82.105539508352464</v>
      </c>
      <c r="I199" s="19">
        <f>Inputs!$D$13</f>
        <v>100</v>
      </c>
      <c r="J199" s="19">
        <f ca="1">(Simulation!H199-Inputs!$D$13)/Inputs!$D$13*Inputs!$D$12</f>
        <v>-178944.60491647533</v>
      </c>
      <c r="K199" s="19">
        <f t="shared" ca="1" si="6"/>
        <v>5385.9283478553407</v>
      </c>
      <c r="L199" s="36">
        <f t="shared" ca="1" si="7"/>
        <v>-178944.60491647531</v>
      </c>
    </row>
    <row r="200" spans="7:12">
      <c r="G200" s="35">
        <f>Simulation!E200</f>
        <v>197</v>
      </c>
      <c r="H200" s="19">
        <f ca="1">Simulation!H200</f>
        <v>83.123610331829255</v>
      </c>
      <c r="I200" s="19">
        <f>Inputs!$D$13</f>
        <v>100</v>
      </c>
      <c r="J200" s="19">
        <f ca="1">(Simulation!H200-Inputs!$D$13)/Inputs!$D$13*Inputs!$D$12</f>
        <v>-168763.89668170744</v>
      </c>
      <c r="K200" s="19">
        <f t="shared" ca="1" si="6"/>
        <v>10180.708234767895</v>
      </c>
      <c r="L200" s="36">
        <f t="shared" ca="1" si="7"/>
        <v>-168763.89668170741</v>
      </c>
    </row>
    <row r="201" spans="7:12">
      <c r="G201" s="35">
        <f>Simulation!E201</f>
        <v>198</v>
      </c>
      <c r="H201" s="19">
        <f ca="1">Simulation!H201</f>
        <v>82.009038962811402</v>
      </c>
      <c r="I201" s="19">
        <f>Inputs!$D$13</f>
        <v>100</v>
      </c>
      <c r="J201" s="19">
        <f ca="1">(Simulation!H201-Inputs!$D$13)/Inputs!$D$13*Inputs!$D$12</f>
        <v>-179909.61037188597</v>
      </c>
      <c r="K201" s="19">
        <f t="shared" ca="1" si="6"/>
        <v>-11145.713690178527</v>
      </c>
      <c r="L201" s="36">
        <f t="shared" ca="1" si="7"/>
        <v>-179909.61037188594</v>
      </c>
    </row>
    <row r="202" spans="7:12">
      <c r="G202" s="35">
        <f>Simulation!E202</f>
        <v>199</v>
      </c>
      <c r="H202" s="19">
        <f ca="1">Simulation!H202</f>
        <v>81.801396968115668</v>
      </c>
      <c r="I202" s="19">
        <f>Inputs!$D$13</f>
        <v>100</v>
      </c>
      <c r="J202" s="19">
        <f ca="1">(Simulation!H202-Inputs!$D$13)/Inputs!$D$13*Inputs!$D$12</f>
        <v>-181986.03031884332</v>
      </c>
      <c r="K202" s="19">
        <f t="shared" ca="1" si="6"/>
        <v>-2076.4199469573505</v>
      </c>
      <c r="L202" s="36">
        <f t="shared" ca="1" si="7"/>
        <v>-181986.03031884329</v>
      </c>
    </row>
    <row r="203" spans="7:12">
      <c r="G203" s="35">
        <f>Simulation!E203</f>
        <v>200</v>
      </c>
      <c r="H203" s="19">
        <f ca="1">Simulation!H203</f>
        <v>81.389218708644336</v>
      </c>
      <c r="I203" s="19">
        <f>Inputs!$D$13</f>
        <v>100</v>
      </c>
      <c r="J203" s="19">
        <f ca="1">(Simulation!H203-Inputs!$D$13)/Inputs!$D$13*Inputs!$D$12</f>
        <v>-186107.81291355664</v>
      </c>
      <c r="K203" s="19">
        <f t="shared" ca="1" si="6"/>
        <v>-4121.7825947133242</v>
      </c>
      <c r="L203" s="36">
        <f t="shared" ca="1" si="7"/>
        <v>-186107.81291355661</v>
      </c>
    </row>
    <row r="204" spans="7:12">
      <c r="G204" s="35">
        <f>Simulation!E204</f>
        <v>201</v>
      </c>
      <c r="H204" s="19">
        <f ca="1">Simulation!H204</f>
        <v>80.933820505039805</v>
      </c>
      <c r="I204" s="19">
        <f>Inputs!$D$13</f>
        <v>100</v>
      </c>
      <c r="J204" s="19">
        <f ca="1">(Simulation!H204-Inputs!$D$13)/Inputs!$D$13*Inputs!$D$12</f>
        <v>-190661.79494960196</v>
      </c>
      <c r="K204" s="19">
        <f t="shared" ca="1" si="6"/>
        <v>-4553.9820360453159</v>
      </c>
      <c r="L204" s="36">
        <f t="shared" ca="1" si="7"/>
        <v>-190661.79494960193</v>
      </c>
    </row>
    <row r="205" spans="7:12">
      <c r="G205" s="35">
        <f>Simulation!E205</f>
        <v>202</v>
      </c>
      <c r="H205" s="19">
        <f ca="1">Simulation!H205</f>
        <v>79.199474152672892</v>
      </c>
      <c r="I205" s="19">
        <f>Inputs!$D$13</f>
        <v>100</v>
      </c>
      <c r="J205" s="19">
        <f ca="1">(Simulation!H205-Inputs!$D$13)/Inputs!$D$13*Inputs!$D$12</f>
        <v>-208005.2584732711</v>
      </c>
      <c r="K205" s="19">
        <f t="shared" ca="1" si="6"/>
        <v>-17343.463523669139</v>
      </c>
      <c r="L205" s="36">
        <f t="shared" ca="1" si="7"/>
        <v>-208005.25847327107</v>
      </c>
    </row>
    <row r="206" spans="7:12">
      <c r="G206" s="35">
        <f>Simulation!E206</f>
        <v>203</v>
      </c>
      <c r="H206" s="19">
        <f ca="1">Simulation!H206</f>
        <v>78.683239541066186</v>
      </c>
      <c r="I206" s="19">
        <f>Inputs!$D$13</f>
        <v>100</v>
      </c>
      <c r="J206" s="19">
        <f ca="1">(Simulation!H206-Inputs!$D$13)/Inputs!$D$13*Inputs!$D$12</f>
        <v>-213167.60458933815</v>
      </c>
      <c r="K206" s="19">
        <f t="shared" ca="1" si="6"/>
        <v>-5162.3461160670558</v>
      </c>
      <c r="L206" s="36">
        <f t="shared" ca="1" si="7"/>
        <v>-213167.60458933812</v>
      </c>
    </row>
    <row r="207" spans="7:12">
      <c r="G207" s="35">
        <f>Simulation!E207</f>
        <v>204</v>
      </c>
      <c r="H207" s="19">
        <f ca="1">Simulation!H207</f>
        <v>76.759795954840982</v>
      </c>
      <c r="I207" s="19">
        <f>Inputs!$D$13</f>
        <v>100</v>
      </c>
      <c r="J207" s="19">
        <f ca="1">(Simulation!H207-Inputs!$D$13)/Inputs!$D$13*Inputs!$D$12</f>
        <v>-232402.04045159018</v>
      </c>
      <c r="K207" s="19">
        <f t="shared" ca="1" si="6"/>
        <v>-19234.435862252023</v>
      </c>
      <c r="L207" s="36">
        <f t="shared" ca="1" si="7"/>
        <v>-232402.04045159015</v>
      </c>
    </row>
    <row r="208" spans="7:12">
      <c r="G208" s="35">
        <f>Simulation!E208</f>
        <v>205</v>
      </c>
      <c r="H208" s="19">
        <f ca="1">Simulation!H208</f>
        <v>78.120957199441662</v>
      </c>
      <c r="I208" s="19">
        <f>Inputs!$D$13</f>
        <v>100</v>
      </c>
      <c r="J208" s="19">
        <f ca="1">(Simulation!H208-Inputs!$D$13)/Inputs!$D$13*Inputs!$D$12</f>
        <v>-218790.42800558338</v>
      </c>
      <c r="K208" s="19">
        <f t="shared" ca="1" si="6"/>
        <v>13611.612446006795</v>
      </c>
      <c r="L208" s="36">
        <f t="shared" ca="1" si="7"/>
        <v>-218790.42800558335</v>
      </c>
    </row>
    <row r="209" spans="7:12">
      <c r="G209" s="35">
        <f>Simulation!E209</f>
        <v>206</v>
      </c>
      <c r="H209" s="19">
        <f ca="1">Simulation!H209</f>
        <v>76.757852171247904</v>
      </c>
      <c r="I209" s="19">
        <f>Inputs!$D$13</f>
        <v>100</v>
      </c>
      <c r="J209" s="19">
        <f ca="1">(Simulation!H209-Inputs!$D$13)/Inputs!$D$13*Inputs!$D$12</f>
        <v>-232421.47828752096</v>
      </c>
      <c r="K209" s="19">
        <f t="shared" ca="1" si="6"/>
        <v>-13631.050281937583</v>
      </c>
      <c r="L209" s="36">
        <f t="shared" ca="1" si="7"/>
        <v>-232421.47828752093</v>
      </c>
    </row>
    <row r="210" spans="7:12">
      <c r="G210" s="35">
        <f>Simulation!E210</f>
        <v>207</v>
      </c>
      <c r="H210" s="19">
        <f ca="1">Simulation!H210</f>
        <v>77.495583044280039</v>
      </c>
      <c r="I210" s="19">
        <f>Inputs!$D$13</f>
        <v>100</v>
      </c>
      <c r="J210" s="19">
        <f ca="1">(Simulation!H210-Inputs!$D$13)/Inputs!$D$13*Inputs!$D$12</f>
        <v>-225044.16955719961</v>
      </c>
      <c r="K210" s="19">
        <f t="shared" ca="1" si="6"/>
        <v>7377.3087303213542</v>
      </c>
      <c r="L210" s="36">
        <f t="shared" ca="1" si="7"/>
        <v>-225044.16955719958</v>
      </c>
    </row>
    <row r="211" spans="7:12">
      <c r="G211" s="35">
        <f>Simulation!E211</f>
        <v>208</v>
      </c>
      <c r="H211" s="19">
        <f ca="1">Simulation!H211</f>
        <v>77.750760748281991</v>
      </c>
      <c r="I211" s="19">
        <f>Inputs!$D$13</f>
        <v>100</v>
      </c>
      <c r="J211" s="19">
        <f ca="1">(Simulation!H211-Inputs!$D$13)/Inputs!$D$13*Inputs!$D$12</f>
        <v>-222492.39251718009</v>
      </c>
      <c r="K211" s="19">
        <f t="shared" ca="1" si="6"/>
        <v>2551.777040019515</v>
      </c>
      <c r="L211" s="36">
        <f t="shared" ca="1" si="7"/>
        <v>-222492.39251718007</v>
      </c>
    </row>
    <row r="212" spans="7:12">
      <c r="G212" s="35">
        <f>Simulation!E212</f>
        <v>209</v>
      </c>
      <c r="H212" s="19">
        <f ca="1">Simulation!H212</f>
        <v>77.343157031301999</v>
      </c>
      <c r="I212" s="19">
        <f>Inputs!$D$13</f>
        <v>100</v>
      </c>
      <c r="J212" s="19">
        <f ca="1">(Simulation!H212-Inputs!$D$13)/Inputs!$D$13*Inputs!$D$12</f>
        <v>-226568.42968698</v>
      </c>
      <c r="K212" s="19">
        <f t="shared" ca="1" si="6"/>
        <v>-4076.0371697999071</v>
      </c>
      <c r="L212" s="36">
        <f t="shared" ca="1" si="7"/>
        <v>-226568.42968697997</v>
      </c>
    </row>
    <row r="213" spans="7:12">
      <c r="G213" s="35">
        <f>Simulation!E213</f>
        <v>210</v>
      </c>
      <c r="H213" s="19">
        <f ca="1">Simulation!H213</f>
        <v>76.99783642240287</v>
      </c>
      <c r="I213" s="19">
        <f>Inputs!$D$13</f>
        <v>100</v>
      </c>
      <c r="J213" s="19">
        <f ca="1">(Simulation!H213-Inputs!$D$13)/Inputs!$D$13*Inputs!$D$12</f>
        <v>-230021.63577597131</v>
      </c>
      <c r="K213" s="19">
        <f t="shared" ca="1" si="6"/>
        <v>-3453.2060889913118</v>
      </c>
      <c r="L213" s="36">
        <f t="shared" ca="1" si="7"/>
        <v>-230021.63577597128</v>
      </c>
    </row>
    <row r="214" spans="7:12">
      <c r="G214" s="35">
        <f>Simulation!E214</f>
        <v>211</v>
      </c>
      <c r="H214" s="19">
        <f ca="1">Simulation!H214</f>
        <v>77.380380674457257</v>
      </c>
      <c r="I214" s="19">
        <f>Inputs!$D$13</f>
        <v>100</v>
      </c>
      <c r="J214" s="19">
        <f ca="1">(Simulation!H214-Inputs!$D$13)/Inputs!$D$13*Inputs!$D$12</f>
        <v>-226196.19325542741</v>
      </c>
      <c r="K214" s="19">
        <f t="shared" ca="1" si="6"/>
        <v>3825.4425205439038</v>
      </c>
      <c r="L214" s="36">
        <f t="shared" ca="1" si="7"/>
        <v>-226196.19325542738</v>
      </c>
    </row>
    <row r="215" spans="7:12">
      <c r="G215" s="35">
        <f>Simulation!E215</f>
        <v>212</v>
      </c>
      <c r="H215" s="19">
        <f ca="1">Simulation!H215</f>
        <v>77.151347613240731</v>
      </c>
      <c r="I215" s="19">
        <f>Inputs!$D$13</f>
        <v>100</v>
      </c>
      <c r="J215" s="19">
        <f ca="1">(Simulation!H215-Inputs!$D$13)/Inputs!$D$13*Inputs!$D$12</f>
        <v>-228486.52386759268</v>
      </c>
      <c r="K215" s="19">
        <f t="shared" ca="1" si="6"/>
        <v>-2290.3306121652713</v>
      </c>
      <c r="L215" s="36">
        <f t="shared" ca="1" si="7"/>
        <v>-228486.52386759265</v>
      </c>
    </row>
    <row r="216" spans="7:12">
      <c r="G216" s="35">
        <f>Simulation!E216</f>
        <v>213</v>
      </c>
      <c r="H216" s="19">
        <f ca="1">Simulation!H216</f>
        <v>78.192359406678648</v>
      </c>
      <c r="I216" s="19">
        <f>Inputs!$D$13</f>
        <v>100</v>
      </c>
      <c r="J216" s="19">
        <f ca="1">(Simulation!H216-Inputs!$D$13)/Inputs!$D$13*Inputs!$D$12</f>
        <v>-218076.40593321354</v>
      </c>
      <c r="K216" s="19">
        <f t="shared" ca="1" si="6"/>
        <v>10410.117934379145</v>
      </c>
      <c r="L216" s="36">
        <f t="shared" ca="1" si="7"/>
        <v>-218076.40593321351</v>
      </c>
    </row>
    <row r="217" spans="7:12">
      <c r="G217" s="35">
        <f>Simulation!E217</f>
        <v>214</v>
      </c>
      <c r="H217" s="19">
        <f ca="1">Simulation!H217</f>
        <v>78.110993633910354</v>
      </c>
      <c r="I217" s="19">
        <f>Inputs!$D$13</f>
        <v>100</v>
      </c>
      <c r="J217" s="19">
        <f ca="1">(Simulation!H217-Inputs!$D$13)/Inputs!$D$13*Inputs!$D$12</f>
        <v>-218890.06366089647</v>
      </c>
      <c r="K217" s="19">
        <f t="shared" ca="1" si="6"/>
        <v>-813.65772768293391</v>
      </c>
      <c r="L217" s="36">
        <f t="shared" ca="1" si="7"/>
        <v>-218890.06366089644</v>
      </c>
    </row>
    <row r="218" spans="7:12">
      <c r="G218" s="35">
        <f>Simulation!E218</f>
        <v>215</v>
      </c>
      <c r="H218" s="19">
        <f ca="1">Simulation!H218</f>
        <v>78.522694110931738</v>
      </c>
      <c r="I218" s="19">
        <f>Inputs!$D$13</f>
        <v>100</v>
      </c>
      <c r="J218" s="19">
        <f ca="1">(Simulation!H218-Inputs!$D$13)/Inputs!$D$13*Inputs!$D$12</f>
        <v>-214773.05889068262</v>
      </c>
      <c r="K218" s="19">
        <f t="shared" ca="1" si="6"/>
        <v>4117.0047702138545</v>
      </c>
      <c r="L218" s="36">
        <f t="shared" ca="1" si="7"/>
        <v>-214773.05889068259</v>
      </c>
    </row>
    <row r="219" spans="7:12">
      <c r="G219" s="35">
        <f>Simulation!E219</f>
        <v>216</v>
      </c>
      <c r="H219" s="19">
        <f ca="1">Simulation!H219</f>
        <v>80.922469022368716</v>
      </c>
      <c r="I219" s="19">
        <f>Inputs!$D$13</f>
        <v>100</v>
      </c>
      <c r="J219" s="19">
        <f ca="1">(Simulation!H219-Inputs!$D$13)/Inputs!$D$13*Inputs!$D$12</f>
        <v>-190775.30977631285</v>
      </c>
      <c r="K219" s="19">
        <f t="shared" ca="1" si="6"/>
        <v>23997.74911436977</v>
      </c>
      <c r="L219" s="36">
        <f t="shared" ca="1" si="7"/>
        <v>-190775.30977631282</v>
      </c>
    </row>
    <row r="220" spans="7:12">
      <c r="G220" s="35">
        <f>Simulation!E220</f>
        <v>217</v>
      </c>
      <c r="H220" s="19">
        <f ca="1">Simulation!H220</f>
        <v>81.203936184267789</v>
      </c>
      <c r="I220" s="19">
        <f>Inputs!$D$13</f>
        <v>100</v>
      </c>
      <c r="J220" s="19">
        <f ca="1">(Simulation!H220-Inputs!$D$13)/Inputs!$D$13*Inputs!$D$12</f>
        <v>-187960.6381573221</v>
      </c>
      <c r="K220" s="19">
        <f t="shared" ca="1" si="6"/>
        <v>2814.6716189907456</v>
      </c>
      <c r="L220" s="36">
        <f t="shared" ca="1" si="7"/>
        <v>-187960.63815732207</v>
      </c>
    </row>
    <row r="221" spans="7:12">
      <c r="G221" s="35">
        <f>Simulation!E221</f>
        <v>218</v>
      </c>
      <c r="H221" s="19">
        <f ca="1">Simulation!H221</f>
        <v>81.043924698566201</v>
      </c>
      <c r="I221" s="19">
        <f>Inputs!$D$13</f>
        <v>100</v>
      </c>
      <c r="J221" s="19">
        <f ca="1">(Simulation!H221-Inputs!$D$13)/Inputs!$D$13*Inputs!$D$12</f>
        <v>-189560.753014338</v>
      </c>
      <c r="K221" s="19">
        <f t="shared" ca="1" si="6"/>
        <v>-1600.1148570158985</v>
      </c>
      <c r="L221" s="36">
        <f t="shared" ca="1" si="7"/>
        <v>-189560.75301433797</v>
      </c>
    </row>
    <row r="222" spans="7:12">
      <c r="G222" s="35">
        <f>Simulation!E222</f>
        <v>219</v>
      </c>
      <c r="H222" s="19">
        <f ca="1">Simulation!H222</f>
        <v>81.948357281858463</v>
      </c>
      <c r="I222" s="19">
        <f>Inputs!$D$13</f>
        <v>100</v>
      </c>
      <c r="J222" s="19">
        <f ca="1">(Simulation!H222-Inputs!$D$13)/Inputs!$D$13*Inputs!$D$12</f>
        <v>-180516.42718141538</v>
      </c>
      <c r="K222" s="19">
        <f t="shared" ca="1" si="6"/>
        <v>9044.3258329226228</v>
      </c>
      <c r="L222" s="36">
        <f t="shared" ca="1" si="7"/>
        <v>-180516.42718141535</v>
      </c>
    </row>
    <row r="223" spans="7:12">
      <c r="G223" s="35">
        <f>Simulation!E223</f>
        <v>220</v>
      </c>
      <c r="H223" s="19">
        <f ca="1">Simulation!H223</f>
        <v>80.617538485381786</v>
      </c>
      <c r="I223" s="19">
        <f>Inputs!$D$13</f>
        <v>100</v>
      </c>
      <c r="J223" s="19">
        <f ca="1">(Simulation!H223-Inputs!$D$13)/Inputs!$D$13*Inputs!$D$12</f>
        <v>-193824.61514618213</v>
      </c>
      <c r="K223" s="19">
        <f t="shared" ca="1" si="6"/>
        <v>-13308.187964766752</v>
      </c>
      <c r="L223" s="36">
        <f t="shared" ca="1" si="7"/>
        <v>-193824.6151461821</v>
      </c>
    </row>
    <row r="224" spans="7:12">
      <c r="G224" s="35">
        <f>Simulation!E224</f>
        <v>221</v>
      </c>
      <c r="H224" s="19">
        <f ca="1">Simulation!H224</f>
        <v>82.293606476539338</v>
      </c>
      <c r="I224" s="19">
        <f>Inputs!$D$13</f>
        <v>100</v>
      </c>
      <c r="J224" s="19">
        <f ca="1">(Simulation!H224-Inputs!$D$13)/Inputs!$D$13*Inputs!$D$12</f>
        <v>-177063.93523460662</v>
      </c>
      <c r="K224" s="19">
        <f t="shared" ca="1" si="6"/>
        <v>16760.679911575513</v>
      </c>
      <c r="L224" s="36">
        <f t="shared" ca="1" si="7"/>
        <v>-177063.93523460659</v>
      </c>
    </row>
    <row r="225" spans="7:12">
      <c r="G225" s="35">
        <f>Simulation!E225</f>
        <v>222</v>
      </c>
      <c r="H225" s="19">
        <f ca="1">Simulation!H225</f>
        <v>81.400599549709682</v>
      </c>
      <c r="I225" s="19">
        <f>Inputs!$D$13</f>
        <v>100</v>
      </c>
      <c r="J225" s="19">
        <f ca="1">(Simulation!H225-Inputs!$D$13)/Inputs!$D$13*Inputs!$D$12</f>
        <v>-185994.00450290318</v>
      </c>
      <c r="K225" s="19">
        <f t="shared" ca="1" si="6"/>
        <v>-8930.06926829656</v>
      </c>
      <c r="L225" s="36">
        <f t="shared" ca="1" si="7"/>
        <v>-185994.00450290315</v>
      </c>
    </row>
    <row r="226" spans="7:12">
      <c r="G226" s="35">
        <f>Simulation!E226</f>
        <v>223</v>
      </c>
      <c r="H226" s="19">
        <f ca="1">Simulation!H226</f>
        <v>80.28677923998346</v>
      </c>
      <c r="I226" s="19">
        <f>Inputs!$D$13</f>
        <v>100</v>
      </c>
      <c r="J226" s="19">
        <f ca="1">(Simulation!H226-Inputs!$D$13)/Inputs!$D$13*Inputs!$D$12</f>
        <v>-197132.20760016539</v>
      </c>
      <c r="K226" s="19">
        <f t="shared" ca="1" si="6"/>
        <v>-11138.203097262216</v>
      </c>
      <c r="L226" s="36">
        <f t="shared" ca="1" si="7"/>
        <v>-197132.20760016536</v>
      </c>
    </row>
    <row r="227" spans="7:12">
      <c r="G227" s="35">
        <f>Simulation!E227</f>
        <v>224</v>
      </c>
      <c r="H227" s="19">
        <f ca="1">Simulation!H227</f>
        <v>82.148634295747755</v>
      </c>
      <c r="I227" s="19">
        <f>Inputs!$D$13</f>
        <v>100</v>
      </c>
      <c r="J227" s="19">
        <f ca="1">(Simulation!H227-Inputs!$D$13)/Inputs!$D$13*Inputs!$D$12</f>
        <v>-178513.65704252245</v>
      </c>
      <c r="K227" s="19">
        <f t="shared" ca="1" si="6"/>
        <v>18618.550557642942</v>
      </c>
      <c r="L227" s="36">
        <f t="shared" ca="1" si="7"/>
        <v>-178513.65704252242</v>
      </c>
    </row>
    <row r="228" spans="7:12">
      <c r="G228" s="35">
        <f>Simulation!E228</f>
        <v>225</v>
      </c>
      <c r="H228" s="19">
        <f ca="1">Simulation!H228</f>
        <v>80.888550395341412</v>
      </c>
      <c r="I228" s="19">
        <f>Inputs!$D$13</f>
        <v>100</v>
      </c>
      <c r="J228" s="19">
        <f ca="1">(Simulation!H228-Inputs!$D$13)/Inputs!$D$13*Inputs!$D$12</f>
        <v>-191114.4960465859</v>
      </c>
      <c r="K228" s="19">
        <f t="shared" ca="1" si="6"/>
        <v>-12600.839004063455</v>
      </c>
      <c r="L228" s="36">
        <f t="shared" ca="1" si="7"/>
        <v>-191114.49604658587</v>
      </c>
    </row>
    <row r="229" spans="7:12">
      <c r="G229" s="35">
        <f>Simulation!E229</f>
        <v>226</v>
      </c>
      <c r="H229" s="19">
        <f ca="1">Simulation!H229</f>
        <v>79.275262587089827</v>
      </c>
      <c r="I229" s="19">
        <f>Inputs!$D$13</f>
        <v>100</v>
      </c>
      <c r="J229" s="19">
        <f ca="1">(Simulation!H229-Inputs!$D$13)/Inputs!$D$13*Inputs!$D$12</f>
        <v>-207247.37412910175</v>
      </c>
      <c r="K229" s="19">
        <f t="shared" ca="1" si="6"/>
        <v>-16132.878082515846</v>
      </c>
      <c r="L229" s="36">
        <f t="shared" ca="1" si="7"/>
        <v>-207247.37412910172</v>
      </c>
    </row>
    <row r="230" spans="7:12">
      <c r="G230" s="35">
        <f>Simulation!E230</f>
        <v>227</v>
      </c>
      <c r="H230" s="19">
        <f ca="1">Simulation!H230</f>
        <v>79.120638836515965</v>
      </c>
      <c r="I230" s="19">
        <f>Inputs!$D$13</f>
        <v>100</v>
      </c>
      <c r="J230" s="19">
        <f ca="1">(Simulation!H230-Inputs!$D$13)/Inputs!$D$13*Inputs!$D$12</f>
        <v>-208793.61163484034</v>
      </c>
      <c r="K230" s="19">
        <f t="shared" ca="1" si="6"/>
        <v>-1546.2375057385943</v>
      </c>
      <c r="L230" s="36">
        <f t="shared" ca="1" si="7"/>
        <v>-208793.61163484032</v>
      </c>
    </row>
    <row r="231" spans="7:12">
      <c r="G231" s="35">
        <f>Simulation!E231</f>
        <v>228</v>
      </c>
      <c r="H231" s="19">
        <f ca="1">Simulation!H231</f>
        <v>77.036350069393038</v>
      </c>
      <c r="I231" s="19">
        <f>Inputs!$D$13</f>
        <v>100</v>
      </c>
      <c r="J231" s="19">
        <f ca="1">(Simulation!H231-Inputs!$D$13)/Inputs!$D$13*Inputs!$D$12</f>
        <v>-229636.49930606963</v>
      </c>
      <c r="K231" s="19">
        <f t="shared" ca="1" si="6"/>
        <v>-20842.887671229284</v>
      </c>
      <c r="L231" s="36">
        <f t="shared" ca="1" si="7"/>
        <v>-229636.4993060696</v>
      </c>
    </row>
    <row r="232" spans="7:12">
      <c r="G232" s="35">
        <f>Simulation!E232</f>
        <v>229</v>
      </c>
      <c r="H232" s="19">
        <f ca="1">Simulation!H232</f>
        <v>78.336823595479956</v>
      </c>
      <c r="I232" s="19">
        <f>Inputs!$D$13</f>
        <v>100</v>
      </c>
      <c r="J232" s="19">
        <f ca="1">(Simulation!H232-Inputs!$D$13)/Inputs!$D$13*Inputs!$D$12</f>
        <v>-216631.76404520043</v>
      </c>
      <c r="K232" s="19">
        <f t="shared" ca="1" si="6"/>
        <v>13004.735260869202</v>
      </c>
      <c r="L232" s="36">
        <f t="shared" ca="1" si="7"/>
        <v>-216631.7640452004</v>
      </c>
    </row>
    <row r="233" spans="7:12">
      <c r="G233" s="35">
        <f>Simulation!E233</f>
        <v>230</v>
      </c>
      <c r="H233" s="19">
        <f ca="1">Simulation!H233</f>
        <v>79.257839415323474</v>
      </c>
      <c r="I233" s="19">
        <f>Inputs!$D$13</f>
        <v>100</v>
      </c>
      <c r="J233" s="19">
        <f ca="1">(Simulation!H233-Inputs!$D$13)/Inputs!$D$13*Inputs!$D$12</f>
        <v>-207421.60584676525</v>
      </c>
      <c r="K233" s="19">
        <f t="shared" ca="1" si="6"/>
        <v>9210.1581984351797</v>
      </c>
      <c r="L233" s="36">
        <f t="shared" ca="1" si="7"/>
        <v>-207421.60584676522</v>
      </c>
    </row>
    <row r="234" spans="7:12">
      <c r="G234" s="35">
        <f>Simulation!E234</f>
        <v>231</v>
      </c>
      <c r="H234" s="19">
        <f ca="1">Simulation!H234</f>
        <v>79.335964718359534</v>
      </c>
      <c r="I234" s="19">
        <f>Inputs!$D$13</f>
        <v>100</v>
      </c>
      <c r="J234" s="19">
        <f ca="1">(Simulation!H234-Inputs!$D$13)/Inputs!$D$13*Inputs!$D$12</f>
        <v>-206640.35281640466</v>
      </c>
      <c r="K234" s="19">
        <f t="shared" ca="1" si="6"/>
        <v>781.25303036058904</v>
      </c>
      <c r="L234" s="36">
        <f t="shared" ca="1" si="7"/>
        <v>-206640.35281640463</v>
      </c>
    </row>
    <row r="235" spans="7:12">
      <c r="G235" s="35">
        <f>Simulation!E235</f>
        <v>232</v>
      </c>
      <c r="H235" s="19">
        <f ca="1">Simulation!H235</f>
        <v>78.970924223881823</v>
      </c>
      <c r="I235" s="19">
        <f>Inputs!$D$13</f>
        <v>100</v>
      </c>
      <c r="J235" s="19">
        <f ca="1">(Simulation!H235-Inputs!$D$13)/Inputs!$D$13*Inputs!$D$12</f>
        <v>-210290.75776118177</v>
      </c>
      <c r="K235" s="19">
        <f t="shared" ca="1" si="6"/>
        <v>-3650.4049447771104</v>
      </c>
      <c r="L235" s="36">
        <f t="shared" ca="1" si="7"/>
        <v>-210290.75776118174</v>
      </c>
    </row>
    <row r="236" spans="7:12">
      <c r="G236" s="35">
        <f>Simulation!E236</f>
        <v>233</v>
      </c>
      <c r="H236" s="19">
        <f ca="1">Simulation!H236</f>
        <v>79.175066341564388</v>
      </c>
      <c r="I236" s="19">
        <f>Inputs!$D$13</f>
        <v>100</v>
      </c>
      <c r="J236" s="19">
        <f ca="1">(Simulation!H236-Inputs!$D$13)/Inputs!$D$13*Inputs!$D$12</f>
        <v>-208249.33658435612</v>
      </c>
      <c r="K236" s="19">
        <f t="shared" ca="1" si="6"/>
        <v>2041.42117682565</v>
      </c>
      <c r="L236" s="36">
        <f t="shared" ca="1" si="7"/>
        <v>-208249.33658435609</v>
      </c>
    </row>
    <row r="237" spans="7:12">
      <c r="G237" s="35">
        <f>Simulation!E237</f>
        <v>234</v>
      </c>
      <c r="H237" s="19">
        <f ca="1">Simulation!H237</f>
        <v>79.420800310689472</v>
      </c>
      <c r="I237" s="19">
        <f>Inputs!$D$13</f>
        <v>100</v>
      </c>
      <c r="J237" s="19">
        <f ca="1">(Simulation!H237-Inputs!$D$13)/Inputs!$D$13*Inputs!$D$12</f>
        <v>-205791.9968931053</v>
      </c>
      <c r="K237" s="19">
        <f t="shared" ca="1" si="6"/>
        <v>2457.3396912508179</v>
      </c>
      <c r="L237" s="36">
        <f t="shared" ca="1" si="7"/>
        <v>-205791.99689310527</v>
      </c>
    </row>
    <row r="238" spans="7:12">
      <c r="G238" s="35">
        <f>Simulation!E238</f>
        <v>235</v>
      </c>
      <c r="H238" s="19">
        <f ca="1">Simulation!H238</f>
        <v>79.497069193375651</v>
      </c>
      <c r="I238" s="19">
        <f>Inputs!$D$13</f>
        <v>100</v>
      </c>
      <c r="J238" s="19">
        <f ca="1">(Simulation!H238-Inputs!$D$13)/Inputs!$D$13*Inputs!$D$12</f>
        <v>-205029.30806624348</v>
      </c>
      <c r="K238" s="19">
        <f t="shared" ca="1" si="6"/>
        <v>762.68882686182042</v>
      </c>
      <c r="L238" s="36">
        <f t="shared" ca="1" si="7"/>
        <v>-205029.30806624345</v>
      </c>
    </row>
    <row r="239" spans="7:12">
      <c r="G239" s="35">
        <f>Simulation!E239</f>
        <v>236</v>
      </c>
      <c r="H239" s="19">
        <f ca="1">Simulation!H239</f>
        <v>81.390078359964875</v>
      </c>
      <c r="I239" s="19">
        <f>Inputs!$D$13</f>
        <v>100</v>
      </c>
      <c r="J239" s="19">
        <f ca="1">(Simulation!H239-Inputs!$D$13)/Inputs!$D$13*Inputs!$D$12</f>
        <v>-186099.21640035126</v>
      </c>
      <c r="K239" s="19">
        <f t="shared" ca="1" si="6"/>
        <v>18930.091665892221</v>
      </c>
      <c r="L239" s="36">
        <f t="shared" ca="1" si="7"/>
        <v>-186099.21640035123</v>
      </c>
    </row>
    <row r="240" spans="7:12">
      <c r="G240" s="35">
        <f>Simulation!E240</f>
        <v>237</v>
      </c>
      <c r="H240" s="19">
        <f ca="1">Simulation!H240</f>
        <v>81.406409662053804</v>
      </c>
      <c r="I240" s="19">
        <f>Inputs!$D$13</f>
        <v>100</v>
      </c>
      <c r="J240" s="19">
        <f ca="1">(Simulation!H240-Inputs!$D$13)/Inputs!$D$13*Inputs!$D$12</f>
        <v>-185935.90337946196</v>
      </c>
      <c r="K240" s="19">
        <f t="shared" ca="1" si="6"/>
        <v>163.31302088929806</v>
      </c>
      <c r="L240" s="36">
        <f t="shared" ca="1" si="7"/>
        <v>-185935.90337946193</v>
      </c>
    </row>
    <row r="241" spans="7:12">
      <c r="G241" s="35">
        <f>Simulation!E241</f>
        <v>238</v>
      </c>
      <c r="H241" s="19">
        <f ca="1">Simulation!H241</f>
        <v>80.987404147330764</v>
      </c>
      <c r="I241" s="19">
        <f>Inputs!$D$13</f>
        <v>100</v>
      </c>
      <c r="J241" s="19">
        <f ca="1">(Simulation!H241-Inputs!$D$13)/Inputs!$D$13*Inputs!$D$12</f>
        <v>-190125.95852669238</v>
      </c>
      <c r="K241" s="19">
        <f t="shared" ca="1" si="6"/>
        <v>-4190.0551472304214</v>
      </c>
      <c r="L241" s="36">
        <f t="shared" ca="1" si="7"/>
        <v>-190125.95852669235</v>
      </c>
    </row>
    <row r="242" spans="7:12">
      <c r="G242" s="35">
        <f>Simulation!E242</f>
        <v>239</v>
      </c>
      <c r="H242" s="19">
        <f ca="1">Simulation!H242</f>
        <v>81.316147464342563</v>
      </c>
      <c r="I242" s="19">
        <f>Inputs!$D$13</f>
        <v>100</v>
      </c>
      <c r="J242" s="19">
        <f ca="1">(Simulation!H242-Inputs!$D$13)/Inputs!$D$13*Inputs!$D$12</f>
        <v>-186838.52535657436</v>
      </c>
      <c r="K242" s="19">
        <f t="shared" ca="1" si="6"/>
        <v>3287.4331701180199</v>
      </c>
      <c r="L242" s="36">
        <f t="shared" ca="1" si="7"/>
        <v>-186838.52535657433</v>
      </c>
    </row>
    <row r="243" spans="7:12">
      <c r="G243" s="35">
        <f>Simulation!E243</f>
        <v>240</v>
      </c>
      <c r="H243" s="19">
        <f ca="1">Simulation!H243</f>
        <v>80.881426315031575</v>
      </c>
      <c r="I243" s="19">
        <f>Inputs!$D$13</f>
        <v>100</v>
      </c>
      <c r="J243" s="19">
        <f ca="1">(Simulation!H243-Inputs!$D$13)/Inputs!$D$13*Inputs!$D$12</f>
        <v>-191185.73684968424</v>
      </c>
      <c r="K243" s="19">
        <f t="shared" ca="1" si="6"/>
        <v>-4347.2114931098768</v>
      </c>
      <c r="L243" s="36">
        <f t="shared" ca="1" si="7"/>
        <v>-191185.73684968421</v>
      </c>
    </row>
    <row r="244" spans="7:12">
      <c r="G244" s="35">
        <f>Simulation!E244</f>
        <v>241</v>
      </c>
      <c r="H244" s="19">
        <f ca="1">Simulation!H244</f>
        <v>80.07120511983004</v>
      </c>
      <c r="I244" s="19">
        <f>Inputs!$D$13</f>
        <v>100</v>
      </c>
      <c r="J244" s="19">
        <f ca="1">(Simulation!H244-Inputs!$D$13)/Inputs!$D$13*Inputs!$D$12</f>
        <v>-199287.94880169959</v>
      </c>
      <c r="K244" s="19">
        <f t="shared" ca="1" si="6"/>
        <v>-8102.2119520153501</v>
      </c>
      <c r="L244" s="36">
        <f t="shared" ca="1" si="7"/>
        <v>-199287.94880169956</v>
      </c>
    </row>
    <row r="245" spans="7:12">
      <c r="G245" s="35">
        <f>Simulation!E245</f>
        <v>242</v>
      </c>
      <c r="H245" s="19">
        <f ca="1">Simulation!H245</f>
        <v>79.661264710430459</v>
      </c>
      <c r="I245" s="19">
        <f>Inputs!$D$13</f>
        <v>100</v>
      </c>
      <c r="J245" s="19">
        <f ca="1">(Simulation!H245-Inputs!$D$13)/Inputs!$D$13*Inputs!$D$12</f>
        <v>-203387.35289569543</v>
      </c>
      <c r="K245" s="19">
        <f t="shared" ca="1" si="6"/>
        <v>-4099.4040939958359</v>
      </c>
      <c r="L245" s="36">
        <f t="shared" ca="1" si="7"/>
        <v>-203387.3528956954</v>
      </c>
    </row>
    <row r="246" spans="7:12">
      <c r="G246" s="35">
        <f>Simulation!E246</f>
        <v>243</v>
      </c>
      <c r="H246" s="19">
        <f ca="1">Simulation!H246</f>
        <v>80.133529551175243</v>
      </c>
      <c r="I246" s="19">
        <f>Inputs!$D$13</f>
        <v>100</v>
      </c>
      <c r="J246" s="19">
        <f ca="1">(Simulation!H246-Inputs!$D$13)/Inputs!$D$13*Inputs!$D$12</f>
        <v>-198664.70448824757</v>
      </c>
      <c r="K246" s="19">
        <f t="shared" ca="1" si="6"/>
        <v>4722.6484074478503</v>
      </c>
      <c r="L246" s="36">
        <f t="shared" ca="1" si="7"/>
        <v>-198664.70448824755</v>
      </c>
    </row>
    <row r="247" spans="7:12">
      <c r="G247" s="35">
        <f>Simulation!E247</f>
        <v>244</v>
      </c>
      <c r="H247" s="19">
        <f ca="1">Simulation!H247</f>
        <v>78.807196512740788</v>
      </c>
      <c r="I247" s="19">
        <f>Inputs!$D$13</f>
        <v>100</v>
      </c>
      <c r="J247" s="19">
        <f ca="1">(Simulation!H247-Inputs!$D$13)/Inputs!$D$13*Inputs!$D$12</f>
        <v>-211928.03487259214</v>
      </c>
      <c r="K247" s="19">
        <f t="shared" ca="1" si="6"/>
        <v>-13263.330384344561</v>
      </c>
      <c r="L247" s="36">
        <f t="shared" ca="1" si="7"/>
        <v>-211928.03487259211</v>
      </c>
    </row>
    <row r="248" spans="7:12">
      <c r="G248" s="35">
        <f>Simulation!E248</f>
        <v>245</v>
      </c>
      <c r="H248" s="19">
        <f ca="1">Simulation!H248</f>
        <v>78.381862099070091</v>
      </c>
      <c r="I248" s="19">
        <f>Inputs!$D$13</f>
        <v>100</v>
      </c>
      <c r="J248" s="19">
        <f ca="1">(Simulation!H248-Inputs!$D$13)/Inputs!$D$13*Inputs!$D$12</f>
        <v>-216181.3790092991</v>
      </c>
      <c r="K248" s="19">
        <f t="shared" ca="1" si="6"/>
        <v>-4253.3441367069609</v>
      </c>
      <c r="L248" s="36">
        <f t="shared" ca="1" si="7"/>
        <v>-216181.37900929907</v>
      </c>
    </row>
    <row r="249" spans="7:12">
      <c r="G249" s="35">
        <f>Simulation!E249</f>
        <v>246</v>
      </c>
      <c r="H249" s="19">
        <f ca="1">Simulation!H249</f>
        <v>80.25910384799424</v>
      </c>
      <c r="I249" s="19">
        <f>Inputs!$D$13</f>
        <v>100</v>
      </c>
      <c r="J249" s="19">
        <f ca="1">(Simulation!H249-Inputs!$D$13)/Inputs!$D$13*Inputs!$D$12</f>
        <v>-197408.96152005761</v>
      </c>
      <c r="K249" s="19">
        <f t="shared" ca="1" si="6"/>
        <v>18772.417489241489</v>
      </c>
      <c r="L249" s="36">
        <f t="shared" ca="1" si="7"/>
        <v>-197408.96152005758</v>
      </c>
    </row>
    <row r="250" spans="7:12">
      <c r="G250" s="35">
        <f>Simulation!E250</f>
        <v>247</v>
      </c>
      <c r="H250" s="19">
        <f ca="1">Simulation!H250</f>
        <v>81.825371027148861</v>
      </c>
      <c r="I250" s="19">
        <f>Inputs!$D$13</f>
        <v>100</v>
      </c>
      <c r="J250" s="19">
        <f ca="1">(Simulation!H250-Inputs!$D$13)/Inputs!$D$13*Inputs!$D$12</f>
        <v>-181746.28972851139</v>
      </c>
      <c r="K250" s="19">
        <f t="shared" ca="1" si="6"/>
        <v>15662.671791546221</v>
      </c>
      <c r="L250" s="36">
        <f t="shared" ca="1" si="7"/>
        <v>-181746.28972851136</v>
      </c>
    </row>
    <row r="251" spans="7:12">
      <c r="G251" s="35">
        <f>Simulation!E251</f>
        <v>248</v>
      </c>
      <c r="H251" s="19">
        <f ca="1">Simulation!H251</f>
        <v>81.651021013434487</v>
      </c>
      <c r="I251" s="19">
        <f>Inputs!$D$13</f>
        <v>100</v>
      </c>
      <c r="J251" s="19">
        <f ca="1">(Simulation!H251-Inputs!$D$13)/Inputs!$D$13*Inputs!$D$12</f>
        <v>-183489.78986565513</v>
      </c>
      <c r="K251" s="19">
        <f t="shared" ca="1" si="6"/>
        <v>-1743.5001371437393</v>
      </c>
      <c r="L251" s="36">
        <f t="shared" ca="1" si="7"/>
        <v>-183489.7898656551</v>
      </c>
    </row>
    <row r="252" spans="7:12">
      <c r="G252" s="35">
        <f>Simulation!E252</f>
        <v>249</v>
      </c>
      <c r="H252" s="19">
        <f ca="1">Simulation!H252</f>
        <v>82.471554403460146</v>
      </c>
      <c r="I252" s="19">
        <f>Inputs!$D$13</f>
        <v>100</v>
      </c>
      <c r="J252" s="19">
        <f ca="1">(Simulation!H252-Inputs!$D$13)/Inputs!$D$13*Inputs!$D$12</f>
        <v>-175284.45596539855</v>
      </c>
      <c r="K252" s="19">
        <f t="shared" ca="1" si="6"/>
        <v>8205.3339002565772</v>
      </c>
      <c r="L252" s="36">
        <f t="shared" ca="1" si="7"/>
        <v>-175284.45596539852</v>
      </c>
    </row>
    <row r="253" spans="7:12">
      <c r="G253" s="35">
        <f>Simulation!E253</f>
        <v>250</v>
      </c>
      <c r="H253" s="19">
        <f ca="1">Simulation!H253</f>
        <v>82.860315145832743</v>
      </c>
      <c r="I253" s="19">
        <f>Inputs!$D$13</f>
        <v>100</v>
      </c>
      <c r="J253" s="19">
        <f ca="1">(Simulation!H253-Inputs!$D$13)/Inputs!$D$13*Inputs!$D$12</f>
        <v>-171396.84854167255</v>
      </c>
      <c r="K253" s="19">
        <f t="shared" ca="1" si="6"/>
        <v>3887.6074237260036</v>
      </c>
      <c r="L253" s="36">
        <f t="shared" ca="1" si="7"/>
        <v>-171396.84854167252</v>
      </c>
    </row>
    <row r="254" spans="7:12">
      <c r="G254" s="35">
        <f>Simulation!E254</f>
        <v>251</v>
      </c>
      <c r="H254" s="19">
        <f ca="1">Simulation!H254</f>
        <v>83.959242335445666</v>
      </c>
      <c r="I254" s="19">
        <f>Inputs!$D$13</f>
        <v>100</v>
      </c>
      <c r="J254" s="19">
        <f ca="1">(Simulation!H254-Inputs!$D$13)/Inputs!$D$13*Inputs!$D$12</f>
        <v>-160407.57664554333</v>
      </c>
      <c r="K254" s="19">
        <f t="shared" ca="1" si="6"/>
        <v>10989.271896129212</v>
      </c>
      <c r="L254" s="36">
        <f t="shared" ca="1" si="7"/>
        <v>-160407.5766455433</v>
      </c>
    </row>
    <row r="255" spans="7:12">
      <c r="G255" s="18">
        <f>Simulation!E255</f>
        <v>252</v>
      </c>
      <c r="H255" s="37">
        <f ca="1">Simulation!H255</f>
        <v>83.854403894419036</v>
      </c>
      <c r="I255" s="37">
        <f>Inputs!$D$13</f>
        <v>100</v>
      </c>
      <c r="J255" s="37">
        <f ca="1">(Simulation!H255-Inputs!$D$13)/Inputs!$D$13*Inputs!$D$12</f>
        <v>-161455.96105580963</v>
      </c>
      <c r="K255" s="37">
        <f t="shared" ca="1" si="6"/>
        <v>-1048.3844102662988</v>
      </c>
      <c r="L255" s="17">
        <f t="shared" ca="1" si="7"/>
        <v>-161455.9610558096</v>
      </c>
    </row>
  </sheetData>
  <mergeCells count="1">
    <mergeCell ref="C3:D3"/>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E9463-A0DB-4662-A578-C62EBFC26D22}">
  <dimension ref="B2:G21"/>
  <sheetViews>
    <sheetView showGridLines="0" zoomScale="85" zoomScaleNormal="85" workbookViewId="0">
      <selection activeCell="F36" sqref="F36"/>
    </sheetView>
  </sheetViews>
  <sheetFormatPr defaultColWidth="14.28515625" defaultRowHeight="15"/>
  <cols>
    <col min="1" max="1" width="19.42578125" customWidth="1"/>
    <col min="2" max="2" width="30.7109375" customWidth="1"/>
    <col min="3" max="3" width="31.5703125" customWidth="1"/>
    <col min="4" max="5" width="49.85546875" bestFit="1" customWidth="1"/>
    <col min="6" max="6" width="12.28515625" bestFit="1" customWidth="1"/>
    <col min="7" max="7" width="49.85546875" bestFit="1" customWidth="1"/>
  </cols>
  <sheetData>
    <row r="2" spans="2:7">
      <c r="B2" s="24" t="s">
        <v>54</v>
      </c>
    </row>
    <row r="16" spans="2:7">
      <c r="E16" s="39" t="s">
        <v>3</v>
      </c>
      <c r="F16" s="40" t="s">
        <v>4</v>
      </c>
      <c r="G16" s="41" t="s">
        <v>55</v>
      </c>
    </row>
    <row r="17" spans="5:7">
      <c r="E17" s="42" t="s">
        <v>66</v>
      </c>
      <c r="F17" s="22">
        <f>+Inputs!$D$15</f>
        <v>0.99</v>
      </c>
      <c r="G17" s="43" t="s">
        <v>57</v>
      </c>
    </row>
    <row r="18" spans="5:7">
      <c r="E18" s="42" t="s">
        <v>58</v>
      </c>
      <c r="F18" s="21">
        <f>_xlfn.NORM.S.INV(F17)</f>
        <v>2.3263478740408408</v>
      </c>
      <c r="G18" s="43" t="s">
        <v>59</v>
      </c>
    </row>
    <row r="19" spans="5:7">
      <c r="E19" s="42" t="s">
        <v>67</v>
      </c>
      <c r="F19" s="21">
        <f>Inputs!$D$16</f>
        <v>10</v>
      </c>
      <c r="G19" s="43" t="s">
        <v>61</v>
      </c>
    </row>
    <row r="20" spans="5:7">
      <c r="E20" s="42" t="s">
        <v>62</v>
      </c>
      <c r="F20" s="38">
        <f ca="1">+_xlfn.STDEV.S('MTM and VM'!K4:K255)</f>
        <v>12703.404892759305</v>
      </c>
      <c r="G20" s="43" t="s">
        <v>63</v>
      </c>
    </row>
    <row r="21" spans="5:7">
      <c r="E21" s="44" t="s">
        <v>64</v>
      </c>
      <c r="F21" s="21">
        <f ca="1">F18*F20*SQRT(F19)</f>
        <v>93453.333771383841</v>
      </c>
      <c r="G21" s="45" t="s">
        <v>65</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A5C51-C1D8-447A-BE58-147849C3196D}">
  <dimension ref="B2:O19"/>
  <sheetViews>
    <sheetView showGridLines="0" zoomScale="85" zoomScaleNormal="85" workbookViewId="0">
      <selection activeCell="N28" sqref="N28"/>
    </sheetView>
  </sheetViews>
  <sheetFormatPr defaultRowHeight="15"/>
  <cols>
    <col min="1" max="1" width="23.7109375" bestFit="1" customWidth="1"/>
    <col min="2" max="2" width="13.140625" bestFit="1" customWidth="1"/>
    <col min="3" max="3" width="30.7109375" customWidth="1"/>
    <col min="12" max="13" width="16.7109375" bestFit="1" customWidth="1"/>
    <col min="14" max="15" width="35.85546875" bestFit="1" customWidth="1"/>
  </cols>
  <sheetData>
    <row r="2" spans="2:15">
      <c r="B2" s="68" t="s">
        <v>68</v>
      </c>
      <c r="C2" s="68"/>
    </row>
    <row r="11" spans="2:15">
      <c r="M11" s="3" t="s">
        <v>3</v>
      </c>
      <c r="N11" s="3" t="s">
        <v>4</v>
      </c>
      <c r="O11" s="3" t="s">
        <v>55</v>
      </c>
    </row>
    <row r="12" spans="2:15">
      <c r="M12" s="21" t="s">
        <v>69</v>
      </c>
      <c r="N12" s="20">
        <f>Inputs!$D$18</f>
        <v>180</v>
      </c>
      <c r="O12" s="21" t="s">
        <v>70</v>
      </c>
    </row>
    <row r="13" spans="2:15" ht="44.25" customHeight="1">
      <c r="M13" s="21" t="s">
        <v>60</v>
      </c>
      <c r="N13" s="20">
        <f>Inputs!$D$16</f>
        <v>10</v>
      </c>
      <c r="O13" s="21" t="s">
        <v>61</v>
      </c>
    </row>
    <row r="14" spans="2:15">
      <c r="M14" s="21" t="s">
        <v>71</v>
      </c>
      <c r="N14" s="20">
        <f>N12+N13</f>
        <v>190</v>
      </c>
      <c r="O14" s="21" t="s">
        <v>72</v>
      </c>
    </row>
    <row r="15" spans="2:15">
      <c r="M15" s="21" t="s">
        <v>73</v>
      </c>
      <c r="N15" s="47">
        <f ca="1">_xlfn.XLOOKUP(N12,'MTM and VM'!$G:$G,'MTM and VM'!$J:$J)</f>
        <v>-162930.03980391801</v>
      </c>
      <c r="O15" s="21" t="s">
        <v>74</v>
      </c>
    </row>
    <row r="16" spans="2:15">
      <c r="M16" s="21" t="s">
        <v>75</v>
      </c>
      <c r="N16" s="47">
        <f ca="1">_xlfn.XLOOKUP(N14,'MTM and VM'!$G:$G,'MTM and VM'!$J:$J)</f>
        <v>-181626.31984896422</v>
      </c>
      <c r="O16" s="21" t="s">
        <v>76</v>
      </c>
    </row>
    <row r="17" spans="13:15">
      <c r="M17" s="21" t="s">
        <v>77</v>
      </c>
      <c r="N17" s="48">
        <f ca="1">+MAX(N16-N15,0)</f>
        <v>0</v>
      </c>
      <c r="O17" s="21" t="s">
        <v>78</v>
      </c>
    </row>
    <row r="18" spans="13:15">
      <c r="M18" s="21" t="s">
        <v>64</v>
      </c>
      <c r="N18" s="47">
        <f ca="1">'Initial Margin'!$F$21</f>
        <v>93453.333771383841</v>
      </c>
      <c r="O18" s="21" t="s">
        <v>79</v>
      </c>
    </row>
    <row r="19" spans="13:15">
      <c r="M19" s="21" t="s">
        <v>80</v>
      </c>
      <c r="N19" s="47">
        <f ca="1">MAX(N17-N18,0)</f>
        <v>0</v>
      </c>
      <c r="O19" s="21" t="s">
        <v>81</v>
      </c>
    </row>
  </sheetData>
  <mergeCells count="1">
    <mergeCell ref="B2:C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128C-96AD-4238-85C4-01C688F993A1}">
  <dimension ref="B2:O27"/>
  <sheetViews>
    <sheetView showGridLines="0" zoomScale="85" zoomScaleNormal="85" workbookViewId="0">
      <selection activeCell="S14" sqref="S14"/>
    </sheetView>
  </sheetViews>
  <sheetFormatPr defaultRowHeight="15"/>
  <cols>
    <col min="1" max="2" width="19" customWidth="1"/>
    <col min="3" max="4" width="20.7109375" customWidth="1"/>
    <col min="5" max="5" width="14.7109375" customWidth="1"/>
    <col min="6" max="6" width="19" customWidth="1"/>
    <col min="7" max="7" width="17.42578125" customWidth="1"/>
    <col min="11" max="11" width="14.85546875" bestFit="1" customWidth="1"/>
    <col min="12" max="12" width="15.7109375" bestFit="1" customWidth="1"/>
    <col min="13" max="13" width="17.140625" bestFit="1" customWidth="1"/>
    <col min="14" max="14" width="18.140625" bestFit="1" customWidth="1"/>
    <col min="15" max="15" width="14.85546875" bestFit="1" customWidth="1"/>
  </cols>
  <sheetData>
    <row r="2" spans="4:15">
      <c r="D2" s="68" t="s">
        <v>87</v>
      </c>
      <c r="E2" s="68"/>
      <c r="M2" s="46" t="s">
        <v>82</v>
      </c>
    </row>
    <row r="9" spans="4:15" ht="30">
      <c r="K9" s="3" t="s">
        <v>60</v>
      </c>
      <c r="L9" s="3" t="s">
        <v>56</v>
      </c>
      <c r="M9" s="3" t="s">
        <v>58</v>
      </c>
      <c r="N9" s="3" t="s">
        <v>62</v>
      </c>
      <c r="O9" s="3" t="s">
        <v>64</v>
      </c>
    </row>
    <row r="10" spans="4:15" ht="24" customHeight="1">
      <c r="K10" s="2">
        <v>5</v>
      </c>
      <c r="L10" s="6">
        <v>0.99</v>
      </c>
      <c r="M10">
        <f t="shared" ref="M10:M13" si="0">_xlfn.NORM.S.INV(L10)</f>
        <v>2.3263478740408408</v>
      </c>
      <c r="N10">
        <f ca="1">'Initial Margin'!$F$20</f>
        <v>12703.404892759305</v>
      </c>
      <c r="O10">
        <f t="shared" ref="O10:O13" ca="1" si="1">M10*N10*SQRT(K10)</f>
        <v>66081.486034235306</v>
      </c>
    </row>
    <row r="11" spans="4:15" ht="27" customHeight="1">
      <c r="K11" s="2">
        <v>10</v>
      </c>
      <c r="L11" s="6">
        <v>0.99</v>
      </c>
      <c r="M11">
        <f t="shared" si="0"/>
        <v>2.3263478740408408</v>
      </c>
      <c r="N11">
        <f ca="1">'Initial Margin'!$F$20</f>
        <v>12703.404892759305</v>
      </c>
      <c r="O11">
        <f t="shared" ca="1" si="1"/>
        <v>93453.333771383841</v>
      </c>
    </row>
    <row r="12" spans="4:15" ht="29.25" customHeight="1">
      <c r="K12" s="2">
        <v>20</v>
      </c>
      <c r="L12" s="6">
        <v>0.99</v>
      </c>
      <c r="M12">
        <f t="shared" si="0"/>
        <v>2.3263478740408408</v>
      </c>
      <c r="N12">
        <f ca="1">'Initial Margin'!$F$20</f>
        <v>12703.404892759305</v>
      </c>
      <c r="O12">
        <f t="shared" ca="1" si="1"/>
        <v>132162.97206847061</v>
      </c>
    </row>
    <row r="13" spans="4:15" ht="26.25" customHeight="1">
      <c r="K13" s="2">
        <v>30</v>
      </c>
      <c r="L13" s="6">
        <v>0.99</v>
      </c>
      <c r="M13">
        <f t="shared" si="0"/>
        <v>2.3263478740408408</v>
      </c>
      <c r="N13">
        <f ca="1">'Initial Margin'!$F$20</f>
        <v>12703.404892759305</v>
      </c>
      <c r="O13">
        <f t="shared" ca="1" si="1"/>
        <v>161865.92222872921</v>
      </c>
    </row>
    <row r="24" spans="2:8" ht="30">
      <c r="B24" s="3" t="s">
        <v>56</v>
      </c>
      <c r="C24" s="3" t="s">
        <v>58</v>
      </c>
      <c r="D24" s="3" t="s">
        <v>62</v>
      </c>
      <c r="E24" s="3" t="s">
        <v>60</v>
      </c>
      <c r="F24" s="3" t="s">
        <v>64</v>
      </c>
      <c r="G24" s="3" t="s">
        <v>77</v>
      </c>
      <c r="H24" s="3" t="s">
        <v>80</v>
      </c>
    </row>
    <row r="25" spans="2:8">
      <c r="B25" s="5">
        <v>0.9</v>
      </c>
      <c r="C25">
        <f>_xlfn.NORM.S.INV(B25)</f>
        <v>1.2815515655446006</v>
      </c>
      <c r="D25">
        <f ca="1">'Initial Margin'!$F$20</f>
        <v>12703.404892759305</v>
      </c>
      <c r="E25" s="4">
        <v>10</v>
      </c>
      <c r="F25">
        <f ca="1">C25*D25*SQRT(E25)</f>
        <v>51482.096696074994</v>
      </c>
      <c r="G25">
        <f ca="1">'Default Scenario'!$N$17</f>
        <v>0</v>
      </c>
      <c r="H25">
        <f ca="1">MAX(G25-F25,0)</f>
        <v>0</v>
      </c>
    </row>
    <row r="26" spans="2:8">
      <c r="B26" s="5">
        <v>0.95</v>
      </c>
      <c r="C26" s="4">
        <f>_xlfn.NORM.S.INV(B26)</f>
        <v>1.6448536269514715</v>
      </c>
      <c r="D26" s="4">
        <f ca="1">'Initial Margin'!$F$20</f>
        <v>12703.404892759305</v>
      </c>
      <c r="E26" s="4">
        <v>10</v>
      </c>
      <c r="F26" s="4">
        <f ca="1">C26*D26*SQRT(E26)</f>
        <v>66076.55575499218</v>
      </c>
      <c r="G26" s="4">
        <f ca="1">'Default Scenario'!$N$17</f>
        <v>0</v>
      </c>
      <c r="H26" s="4">
        <f ca="1">MAX(G26-F26,0)</f>
        <v>0</v>
      </c>
    </row>
    <row r="27" spans="2:8">
      <c r="B27" s="5">
        <v>0.99</v>
      </c>
      <c r="C27" s="4">
        <f>_xlfn.NORM.S.INV(B27)</f>
        <v>2.3263478740408408</v>
      </c>
      <c r="D27" s="4">
        <f ca="1">'Initial Margin'!$F$20</f>
        <v>12703.404892759305</v>
      </c>
      <c r="E27" s="4">
        <v>10</v>
      </c>
      <c r="F27" s="4">
        <f ca="1">C27*D27*SQRT(E27)</f>
        <v>93453.333771383841</v>
      </c>
      <c r="G27" s="4">
        <f ca="1">'Default Scenario'!$N$17</f>
        <v>0</v>
      </c>
      <c r="H27" s="4">
        <f ca="1">MAX(G27-F27,0)</f>
        <v>0</v>
      </c>
    </row>
  </sheetData>
  <mergeCells count="1">
    <mergeCell ref="D2:E2"/>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E26E-A1A4-4738-A736-136E7EF6A1CC}">
  <dimension ref="F2:W13"/>
  <sheetViews>
    <sheetView showGridLines="0" tabSelected="1" zoomScale="70" zoomScaleNormal="70" workbookViewId="0">
      <selection activeCell="AJ18" sqref="AJ18"/>
    </sheetView>
  </sheetViews>
  <sheetFormatPr defaultRowHeight="15"/>
  <cols>
    <col min="1" max="12" width="9.140625" style="23"/>
    <col min="13" max="13" width="13.140625" style="23" bestFit="1" customWidth="1"/>
    <col min="14" max="14" width="9.140625" style="23"/>
    <col min="15" max="15" width="12.28515625" style="23" bestFit="1" customWidth="1"/>
    <col min="16" max="16384" width="9.140625" style="23"/>
  </cols>
  <sheetData>
    <row r="2" spans="6:23" ht="23.25">
      <c r="K2" s="67" t="s">
        <v>83</v>
      </c>
      <c r="L2" s="67"/>
      <c r="M2" s="67"/>
      <c r="N2" s="67"/>
      <c r="O2" s="67"/>
      <c r="P2" s="67"/>
      <c r="Q2" s="67"/>
      <c r="R2" s="67"/>
    </row>
    <row r="4" spans="6:23" ht="21">
      <c r="G4" s="51" t="s">
        <v>84</v>
      </c>
      <c r="H4" s="51"/>
      <c r="I4" s="51"/>
      <c r="J4" s="51"/>
      <c r="K4" s="51"/>
      <c r="L4" s="51"/>
      <c r="M4" s="51"/>
      <c r="N4" s="51"/>
      <c r="O4" s="51"/>
      <c r="P4" s="51"/>
      <c r="Q4" s="51"/>
      <c r="R4" s="51"/>
      <c r="S4" s="51"/>
      <c r="T4" s="51"/>
      <c r="U4" s="51"/>
      <c r="V4" s="51"/>
      <c r="W4" s="51"/>
    </row>
    <row r="6" spans="6:23" ht="15.75" thickBot="1"/>
    <row r="7" spans="6:23" ht="30">
      <c r="F7" s="64" t="s">
        <v>85</v>
      </c>
      <c r="G7" s="62"/>
      <c r="H7" s="25" t="s">
        <v>4</v>
      </c>
      <c r="I7" s="26"/>
      <c r="P7" s="27" t="s">
        <v>86</v>
      </c>
      <c r="Q7" s="25"/>
      <c r="R7" s="62" t="s">
        <v>4</v>
      </c>
      <c r="S7" s="63"/>
    </row>
    <row r="8" spans="6:23" ht="15" customHeight="1">
      <c r="F8" s="58" t="s">
        <v>22</v>
      </c>
      <c r="G8" s="59"/>
      <c r="H8" s="65">
        <f>Inputs!$D$12</f>
        <v>1000000</v>
      </c>
      <c r="I8" s="66"/>
      <c r="P8" s="28" t="s">
        <v>64</v>
      </c>
      <c r="Q8" s="29"/>
      <c r="R8" s="54">
        <f ca="1">'Initial Margin'!$F$21</f>
        <v>93453.333771383841</v>
      </c>
      <c r="S8" s="55"/>
    </row>
    <row r="9" spans="6:23" ht="15" customHeight="1">
      <c r="F9" s="58" t="s">
        <v>50</v>
      </c>
      <c r="G9" s="59"/>
      <c r="H9" s="65">
        <f>Inputs!$D$13</f>
        <v>100</v>
      </c>
      <c r="I9" s="66"/>
      <c r="P9" s="28" t="s">
        <v>77</v>
      </c>
      <c r="Q9" s="29"/>
      <c r="R9" s="54">
        <f ca="1">'Default Scenario'!$N$17</f>
        <v>0</v>
      </c>
      <c r="S9" s="55"/>
    </row>
    <row r="10" spans="6:23" ht="15" customHeight="1">
      <c r="F10" s="58" t="s">
        <v>56</v>
      </c>
      <c r="G10" s="59"/>
      <c r="H10" s="32">
        <f>Inputs!$D$15</f>
        <v>0.99</v>
      </c>
      <c r="I10" s="33"/>
      <c r="P10" s="28" t="s">
        <v>80</v>
      </c>
      <c r="Q10" s="29"/>
      <c r="R10" s="54">
        <f ca="1">'Default Scenario'!$N$17</f>
        <v>0</v>
      </c>
      <c r="S10" s="55"/>
    </row>
    <row r="11" spans="6:23" ht="15" customHeight="1">
      <c r="F11" s="58" t="s">
        <v>60</v>
      </c>
      <c r="G11" s="59"/>
      <c r="H11" s="30">
        <f>Inputs!$D$16</f>
        <v>10</v>
      </c>
      <c r="I11" s="31"/>
      <c r="P11" s="28" t="s">
        <v>73</v>
      </c>
      <c r="Q11" s="29"/>
      <c r="R11" s="56">
        <f ca="1">'Default Scenario'!$N$15</f>
        <v>-162930.03980391801</v>
      </c>
      <c r="S11" s="57"/>
    </row>
    <row r="12" spans="6:23" ht="15" customHeight="1" thickBot="1">
      <c r="F12" s="49" t="s">
        <v>69</v>
      </c>
      <c r="G12" s="50"/>
      <c r="H12" s="60">
        <f>Inputs!$D$18</f>
        <v>180</v>
      </c>
      <c r="I12" s="61"/>
      <c r="P12" s="49" t="s">
        <v>75</v>
      </c>
      <c r="Q12" s="50"/>
      <c r="R12" s="52">
        <f ca="1">'Default Scenario'!$N$16</f>
        <v>-181626.31984896422</v>
      </c>
      <c r="S12" s="53"/>
    </row>
    <row r="13" spans="6:23" ht="15.75" customHeight="1"/>
  </sheetData>
  <mergeCells count="18">
    <mergeCell ref="H9:I9"/>
    <mergeCell ref="K2:R2"/>
    <mergeCell ref="P12:Q12"/>
    <mergeCell ref="G4:W4"/>
    <mergeCell ref="R12:S12"/>
    <mergeCell ref="R8:S8"/>
    <mergeCell ref="R9:S9"/>
    <mergeCell ref="R10:S10"/>
    <mergeCell ref="R11:S11"/>
    <mergeCell ref="F10:G10"/>
    <mergeCell ref="F9:G9"/>
    <mergeCell ref="F8:G8"/>
    <mergeCell ref="H12:I12"/>
    <mergeCell ref="F12:G12"/>
    <mergeCell ref="F11:G11"/>
    <mergeCell ref="R7:S7"/>
    <mergeCell ref="F7:G7"/>
    <mergeCell ref="H8:I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 </vt:lpstr>
      <vt:lpstr>Inputs</vt:lpstr>
      <vt:lpstr>Simulation</vt:lpstr>
      <vt:lpstr>MTM and VM</vt:lpstr>
      <vt:lpstr>Initial Margin</vt:lpstr>
      <vt:lpstr>Default Scenario</vt:lpstr>
      <vt:lpstr>Sensitivity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De La Rosa</dc:creator>
  <cp:lastModifiedBy>Guillermo De La Rosa</cp:lastModifiedBy>
  <dcterms:created xsi:type="dcterms:W3CDTF">2026-05-02T17:29:20Z</dcterms:created>
  <dcterms:modified xsi:type="dcterms:W3CDTF">2026-05-02T22:42:27Z</dcterms:modified>
</cp:coreProperties>
</file>