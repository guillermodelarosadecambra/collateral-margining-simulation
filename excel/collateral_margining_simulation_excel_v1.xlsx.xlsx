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2bcaa156fe291f4/Documents/"/>
    </mc:Choice>
  </mc:AlternateContent>
  <xr:revisionPtr revIDLastSave="309" documentId="8_{FA2E756F-DDF3-4DB8-8269-D345AC536FC3}" xr6:coauthVersionLast="47" xr6:coauthVersionMax="47" xr10:uidLastSave="{8557D3F8-A497-437A-814B-CC284D3E2048}"/>
  <bookViews>
    <workbookView xWindow="-120" yWindow="-120" windowWidth="29040" windowHeight="15720" activeTab="7" xr2:uid="{BE5BE7C5-A4A9-4D79-8189-246290E07282}"/>
  </bookViews>
  <sheets>
    <sheet name="Overview " sheetId="1" r:id="rId1"/>
    <sheet name="Inputs" sheetId="4" r:id="rId2"/>
    <sheet name="Simulation" sheetId="5" r:id="rId3"/>
    <sheet name="MTM and VM" sheetId="6" r:id="rId4"/>
    <sheet name="Initial Margin" sheetId="7" r:id="rId5"/>
    <sheet name="Default Scenario" sheetId="8" r:id="rId6"/>
    <sheet name="Sensitivity Analysis" sheetId="9" r:id="rId7"/>
    <sheet name="Dashboard"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2" i="10" l="1"/>
  <c r="H11" i="10"/>
  <c r="H10" i="10"/>
  <c r="H9" i="10"/>
  <c r="H8" i="10"/>
  <c r="M11" i="9"/>
  <c r="M12" i="9"/>
  <c r="M13" i="9"/>
  <c r="M10" i="9"/>
  <c r="C25" i="9"/>
  <c r="C26" i="9"/>
  <c r="C27" i="9"/>
  <c r="N13" i="8"/>
  <c r="N12" i="8"/>
  <c r="F19" i="7"/>
  <c r="F17" i="7"/>
  <c r="F18" i="7" s="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3" i="6"/>
  <c r="G3" i="6"/>
  <c r="F5" i="5"/>
  <c r="G5" i="5" s="1"/>
  <c r="F6" i="5"/>
  <c r="G6" i="5" s="1"/>
  <c r="F7" i="5"/>
  <c r="G7" i="5" s="1"/>
  <c r="F8" i="5"/>
  <c r="G8" i="5" s="1"/>
  <c r="F9" i="5"/>
  <c r="G9" i="5" s="1"/>
  <c r="F10" i="5"/>
  <c r="G10" i="5" s="1"/>
  <c r="F11" i="5"/>
  <c r="G11" i="5" s="1"/>
  <c r="F12" i="5"/>
  <c r="G12" i="5" s="1"/>
  <c r="F13" i="5"/>
  <c r="G13" i="5" s="1"/>
  <c r="F14" i="5"/>
  <c r="G14" i="5" s="1"/>
  <c r="F15" i="5"/>
  <c r="G15" i="5" s="1"/>
  <c r="F16" i="5"/>
  <c r="G16" i="5" s="1"/>
  <c r="F17" i="5"/>
  <c r="G17" i="5" s="1"/>
  <c r="F18" i="5"/>
  <c r="G18" i="5" s="1"/>
  <c r="F19" i="5"/>
  <c r="G19" i="5" s="1"/>
  <c r="F20" i="5"/>
  <c r="G20" i="5" s="1"/>
  <c r="F21" i="5"/>
  <c r="G21" i="5" s="1"/>
  <c r="F22" i="5"/>
  <c r="G22" i="5" s="1"/>
  <c r="F23" i="5"/>
  <c r="G23" i="5" s="1"/>
  <c r="F24" i="5"/>
  <c r="G24" i="5" s="1"/>
  <c r="F25" i="5"/>
  <c r="G25" i="5" s="1"/>
  <c r="F26" i="5"/>
  <c r="G26" i="5" s="1"/>
  <c r="F27" i="5"/>
  <c r="G27" i="5" s="1"/>
  <c r="F28" i="5"/>
  <c r="G28" i="5" s="1"/>
  <c r="F29" i="5"/>
  <c r="G29" i="5" s="1"/>
  <c r="F30" i="5"/>
  <c r="G30" i="5" s="1"/>
  <c r="F31" i="5"/>
  <c r="G31" i="5" s="1"/>
  <c r="F32" i="5"/>
  <c r="G32" i="5" s="1"/>
  <c r="F33" i="5"/>
  <c r="G33" i="5" s="1"/>
  <c r="F34" i="5"/>
  <c r="G34" i="5" s="1"/>
  <c r="F35" i="5"/>
  <c r="G35" i="5" s="1"/>
  <c r="F36" i="5"/>
  <c r="G36" i="5" s="1"/>
  <c r="F37" i="5"/>
  <c r="G37" i="5" s="1"/>
  <c r="F38" i="5"/>
  <c r="G38" i="5" s="1"/>
  <c r="F39" i="5"/>
  <c r="G39" i="5" s="1"/>
  <c r="F40" i="5"/>
  <c r="G40" i="5" s="1"/>
  <c r="F41" i="5"/>
  <c r="G41" i="5" s="1"/>
  <c r="F42" i="5"/>
  <c r="G42" i="5" s="1"/>
  <c r="F43" i="5"/>
  <c r="G43" i="5" s="1"/>
  <c r="F44" i="5"/>
  <c r="G44" i="5" s="1"/>
  <c r="F45" i="5"/>
  <c r="G45" i="5" s="1"/>
  <c r="F46" i="5"/>
  <c r="G46" i="5" s="1"/>
  <c r="F47" i="5"/>
  <c r="G47" i="5" s="1"/>
  <c r="F48" i="5"/>
  <c r="G48" i="5" s="1"/>
  <c r="F49" i="5"/>
  <c r="G49" i="5" s="1"/>
  <c r="F50" i="5"/>
  <c r="G50" i="5" s="1"/>
  <c r="F51" i="5"/>
  <c r="G51" i="5" s="1"/>
  <c r="F52" i="5"/>
  <c r="G52" i="5" s="1"/>
  <c r="F53" i="5"/>
  <c r="G53" i="5" s="1"/>
  <c r="F54" i="5"/>
  <c r="G54" i="5" s="1"/>
  <c r="F55" i="5"/>
  <c r="G55" i="5" s="1"/>
  <c r="F56" i="5"/>
  <c r="G56" i="5" s="1"/>
  <c r="F57" i="5"/>
  <c r="G57" i="5" s="1"/>
  <c r="F58" i="5"/>
  <c r="G58" i="5" s="1"/>
  <c r="F59" i="5"/>
  <c r="G59" i="5" s="1"/>
  <c r="F60" i="5"/>
  <c r="G60" i="5" s="1"/>
  <c r="F61" i="5"/>
  <c r="G61" i="5" s="1"/>
  <c r="F62" i="5"/>
  <c r="G62" i="5" s="1"/>
  <c r="F63" i="5"/>
  <c r="G63" i="5" s="1"/>
  <c r="F64" i="5"/>
  <c r="G64" i="5" s="1"/>
  <c r="F65" i="5"/>
  <c r="G65" i="5" s="1"/>
  <c r="F66" i="5"/>
  <c r="G66" i="5" s="1"/>
  <c r="F67" i="5"/>
  <c r="G67" i="5" s="1"/>
  <c r="F68" i="5"/>
  <c r="G68" i="5" s="1"/>
  <c r="F69" i="5"/>
  <c r="G69" i="5" s="1"/>
  <c r="F70" i="5"/>
  <c r="G70" i="5" s="1"/>
  <c r="F71" i="5"/>
  <c r="G71" i="5" s="1"/>
  <c r="F72" i="5"/>
  <c r="G72" i="5" s="1"/>
  <c r="F73" i="5"/>
  <c r="G73" i="5" s="1"/>
  <c r="F74" i="5"/>
  <c r="G74" i="5" s="1"/>
  <c r="F75" i="5"/>
  <c r="G75" i="5" s="1"/>
  <c r="F76" i="5"/>
  <c r="G76" i="5" s="1"/>
  <c r="F77" i="5"/>
  <c r="G77" i="5" s="1"/>
  <c r="F78" i="5"/>
  <c r="G78" i="5" s="1"/>
  <c r="F79" i="5"/>
  <c r="G79" i="5" s="1"/>
  <c r="F80" i="5"/>
  <c r="G80" i="5" s="1"/>
  <c r="F81" i="5"/>
  <c r="G81" i="5" s="1"/>
  <c r="F82" i="5"/>
  <c r="G82" i="5" s="1"/>
  <c r="F83" i="5"/>
  <c r="G83" i="5" s="1"/>
  <c r="F84" i="5"/>
  <c r="G84" i="5" s="1"/>
  <c r="F85" i="5"/>
  <c r="G85" i="5" s="1"/>
  <c r="F86" i="5"/>
  <c r="G86" i="5" s="1"/>
  <c r="F87" i="5"/>
  <c r="G87" i="5" s="1"/>
  <c r="F88" i="5"/>
  <c r="G88" i="5" s="1"/>
  <c r="F89" i="5"/>
  <c r="G89" i="5" s="1"/>
  <c r="F90" i="5"/>
  <c r="G90" i="5" s="1"/>
  <c r="F91" i="5"/>
  <c r="G91" i="5" s="1"/>
  <c r="F92" i="5"/>
  <c r="G92" i="5" s="1"/>
  <c r="F93" i="5"/>
  <c r="G93" i="5" s="1"/>
  <c r="F94" i="5"/>
  <c r="G94" i="5" s="1"/>
  <c r="F95" i="5"/>
  <c r="G95" i="5" s="1"/>
  <c r="F96" i="5"/>
  <c r="G96" i="5" s="1"/>
  <c r="F97" i="5"/>
  <c r="G97" i="5" s="1"/>
  <c r="F98" i="5"/>
  <c r="G98" i="5" s="1"/>
  <c r="F99" i="5"/>
  <c r="G99" i="5" s="1"/>
  <c r="F100" i="5"/>
  <c r="G100" i="5" s="1"/>
  <c r="F101" i="5"/>
  <c r="G101" i="5" s="1"/>
  <c r="F102" i="5"/>
  <c r="G102" i="5" s="1"/>
  <c r="F103" i="5"/>
  <c r="G103" i="5" s="1"/>
  <c r="F104" i="5"/>
  <c r="G104" i="5" s="1"/>
  <c r="F105" i="5"/>
  <c r="G105" i="5" s="1"/>
  <c r="F106" i="5"/>
  <c r="G106" i="5" s="1"/>
  <c r="F107" i="5"/>
  <c r="G107" i="5" s="1"/>
  <c r="F108" i="5"/>
  <c r="G108" i="5" s="1"/>
  <c r="F109" i="5"/>
  <c r="G109" i="5" s="1"/>
  <c r="F110" i="5"/>
  <c r="G110" i="5" s="1"/>
  <c r="F111" i="5"/>
  <c r="G111" i="5" s="1"/>
  <c r="F112" i="5"/>
  <c r="G112" i="5" s="1"/>
  <c r="F113" i="5"/>
  <c r="G113" i="5" s="1"/>
  <c r="F114" i="5"/>
  <c r="G114" i="5" s="1"/>
  <c r="F115" i="5"/>
  <c r="G115" i="5" s="1"/>
  <c r="F116" i="5"/>
  <c r="G116" i="5" s="1"/>
  <c r="F117" i="5"/>
  <c r="G117" i="5" s="1"/>
  <c r="F118" i="5"/>
  <c r="G118" i="5" s="1"/>
  <c r="F119" i="5"/>
  <c r="G119" i="5" s="1"/>
  <c r="F120" i="5"/>
  <c r="G120" i="5" s="1"/>
  <c r="F121" i="5"/>
  <c r="G121" i="5" s="1"/>
  <c r="F122" i="5"/>
  <c r="G122" i="5" s="1"/>
  <c r="F123" i="5"/>
  <c r="G123" i="5" s="1"/>
  <c r="F124" i="5"/>
  <c r="G124" i="5" s="1"/>
  <c r="F125" i="5"/>
  <c r="G125" i="5" s="1"/>
  <c r="F126" i="5"/>
  <c r="G126" i="5" s="1"/>
  <c r="F127" i="5"/>
  <c r="G127" i="5" s="1"/>
  <c r="F128" i="5"/>
  <c r="G128" i="5" s="1"/>
  <c r="F129" i="5"/>
  <c r="G129" i="5" s="1"/>
  <c r="F130" i="5"/>
  <c r="G130" i="5" s="1"/>
  <c r="F131" i="5"/>
  <c r="G131" i="5" s="1"/>
  <c r="F132" i="5"/>
  <c r="G132" i="5" s="1"/>
  <c r="F133" i="5"/>
  <c r="G133" i="5" s="1"/>
  <c r="F134" i="5"/>
  <c r="G134" i="5" s="1"/>
  <c r="F135" i="5"/>
  <c r="G135" i="5" s="1"/>
  <c r="F136" i="5"/>
  <c r="G136" i="5" s="1"/>
  <c r="F137" i="5"/>
  <c r="G137" i="5" s="1"/>
  <c r="F138" i="5"/>
  <c r="G138" i="5" s="1"/>
  <c r="F139" i="5"/>
  <c r="G139" i="5" s="1"/>
  <c r="F140" i="5"/>
  <c r="G140" i="5" s="1"/>
  <c r="F141" i="5"/>
  <c r="G141" i="5" s="1"/>
  <c r="F142" i="5"/>
  <c r="G142" i="5" s="1"/>
  <c r="F143" i="5"/>
  <c r="G143" i="5" s="1"/>
  <c r="F144" i="5"/>
  <c r="G144" i="5" s="1"/>
  <c r="F145" i="5"/>
  <c r="G145" i="5" s="1"/>
  <c r="F146" i="5"/>
  <c r="G146" i="5" s="1"/>
  <c r="F147" i="5"/>
  <c r="G147" i="5" s="1"/>
  <c r="F148" i="5"/>
  <c r="G148" i="5" s="1"/>
  <c r="F149" i="5"/>
  <c r="G149" i="5" s="1"/>
  <c r="F150" i="5"/>
  <c r="G150" i="5" s="1"/>
  <c r="F151" i="5"/>
  <c r="G151" i="5" s="1"/>
  <c r="F152" i="5"/>
  <c r="G152" i="5" s="1"/>
  <c r="F153" i="5"/>
  <c r="G153" i="5" s="1"/>
  <c r="F154" i="5"/>
  <c r="G154" i="5" s="1"/>
  <c r="F155" i="5"/>
  <c r="G155" i="5" s="1"/>
  <c r="F156" i="5"/>
  <c r="G156" i="5" s="1"/>
  <c r="F157" i="5"/>
  <c r="G157" i="5" s="1"/>
  <c r="F158" i="5"/>
  <c r="G158" i="5" s="1"/>
  <c r="F159" i="5"/>
  <c r="G159" i="5" s="1"/>
  <c r="F160" i="5"/>
  <c r="G160" i="5" s="1"/>
  <c r="F161" i="5"/>
  <c r="G161" i="5" s="1"/>
  <c r="F162" i="5"/>
  <c r="G162" i="5" s="1"/>
  <c r="F163" i="5"/>
  <c r="G163" i="5" s="1"/>
  <c r="F164" i="5"/>
  <c r="G164" i="5" s="1"/>
  <c r="F165" i="5"/>
  <c r="G165" i="5" s="1"/>
  <c r="F166" i="5"/>
  <c r="G166" i="5" s="1"/>
  <c r="F167" i="5"/>
  <c r="G167" i="5" s="1"/>
  <c r="F168" i="5"/>
  <c r="G168" i="5" s="1"/>
  <c r="F169" i="5"/>
  <c r="G169" i="5" s="1"/>
  <c r="F170" i="5"/>
  <c r="G170" i="5" s="1"/>
  <c r="F171" i="5"/>
  <c r="G171" i="5" s="1"/>
  <c r="F172" i="5"/>
  <c r="G172" i="5" s="1"/>
  <c r="F173" i="5"/>
  <c r="G173" i="5" s="1"/>
  <c r="F174" i="5"/>
  <c r="G174" i="5" s="1"/>
  <c r="F175" i="5"/>
  <c r="G175" i="5" s="1"/>
  <c r="F176" i="5"/>
  <c r="G176" i="5" s="1"/>
  <c r="F177" i="5"/>
  <c r="G177" i="5" s="1"/>
  <c r="F178" i="5"/>
  <c r="G178" i="5" s="1"/>
  <c r="F179" i="5"/>
  <c r="G179" i="5" s="1"/>
  <c r="F180" i="5"/>
  <c r="G180" i="5" s="1"/>
  <c r="F181" i="5"/>
  <c r="G181" i="5" s="1"/>
  <c r="F182" i="5"/>
  <c r="G182" i="5" s="1"/>
  <c r="F183" i="5"/>
  <c r="G183" i="5" s="1"/>
  <c r="F184" i="5"/>
  <c r="G184" i="5" s="1"/>
  <c r="F185" i="5"/>
  <c r="G185" i="5" s="1"/>
  <c r="F186" i="5"/>
  <c r="G186" i="5" s="1"/>
  <c r="F187" i="5"/>
  <c r="G187" i="5" s="1"/>
  <c r="F188" i="5"/>
  <c r="G188" i="5" s="1"/>
  <c r="F189" i="5"/>
  <c r="G189" i="5" s="1"/>
  <c r="F190" i="5"/>
  <c r="G190" i="5" s="1"/>
  <c r="F191" i="5"/>
  <c r="G191" i="5" s="1"/>
  <c r="F192" i="5"/>
  <c r="G192" i="5" s="1"/>
  <c r="F193" i="5"/>
  <c r="G193" i="5" s="1"/>
  <c r="F194" i="5"/>
  <c r="G194" i="5" s="1"/>
  <c r="F195" i="5"/>
  <c r="G195" i="5" s="1"/>
  <c r="F196" i="5"/>
  <c r="G196" i="5" s="1"/>
  <c r="F197" i="5"/>
  <c r="G197" i="5" s="1"/>
  <c r="F198" i="5"/>
  <c r="G198" i="5" s="1"/>
  <c r="F199" i="5"/>
  <c r="G199" i="5" s="1"/>
  <c r="F200" i="5"/>
  <c r="G200" i="5" s="1"/>
  <c r="F201" i="5"/>
  <c r="G201" i="5" s="1"/>
  <c r="F202" i="5"/>
  <c r="G202" i="5" s="1"/>
  <c r="F203" i="5"/>
  <c r="G203" i="5" s="1"/>
  <c r="F204" i="5"/>
  <c r="G204" i="5" s="1"/>
  <c r="F205" i="5"/>
  <c r="G205" i="5" s="1"/>
  <c r="F206" i="5"/>
  <c r="G206" i="5" s="1"/>
  <c r="F207" i="5"/>
  <c r="G207" i="5" s="1"/>
  <c r="F208" i="5"/>
  <c r="G208" i="5" s="1"/>
  <c r="F209" i="5"/>
  <c r="G209" i="5" s="1"/>
  <c r="F210" i="5"/>
  <c r="G210" i="5" s="1"/>
  <c r="F211" i="5"/>
  <c r="G211" i="5" s="1"/>
  <c r="F212" i="5"/>
  <c r="G212" i="5" s="1"/>
  <c r="F213" i="5"/>
  <c r="G213" i="5" s="1"/>
  <c r="F214" i="5"/>
  <c r="G214" i="5" s="1"/>
  <c r="F215" i="5"/>
  <c r="G215" i="5" s="1"/>
  <c r="F216" i="5"/>
  <c r="G216" i="5" s="1"/>
  <c r="F217" i="5"/>
  <c r="G217" i="5" s="1"/>
  <c r="F218" i="5"/>
  <c r="G218" i="5" s="1"/>
  <c r="F219" i="5"/>
  <c r="G219" i="5" s="1"/>
  <c r="F220" i="5"/>
  <c r="G220" i="5" s="1"/>
  <c r="F221" i="5"/>
  <c r="G221" i="5" s="1"/>
  <c r="F222" i="5"/>
  <c r="G222" i="5" s="1"/>
  <c r="F223" i="5"/>
  <c r="G223" i="5" s="1"/>
  <c r="F224" i="5"/>
  <c r="G224" i="5" s="1"/>
  <c r="F225" i="5"/>
  <c r="G225" i="5" s="1"/>
  <c r="F226" i="5"/>
  <c r="G226" i="5" s="1"/>
  <c r="F227" i="5"/>
  <c r="G227" i="5" s="1"/>
  <c r="F228" i="5"/>
  <c r="G228" i="5" s="1"/>
  <c r="F229" i="5"/>
  <c r="G229" i="5" s="1"/>
  <c r="F230" i="5"/>
  <c r="G230" i="5" s="1"/>
  <c r="F231" i="5"/>
  <c r="G231" i="5" s="1"/>
  <c r="F232" i="5"/>
  <c r="G232" i="5" s="1"/>
  <c r="F233" i="5"/>
  <c r="G233" i="5" s="1"/>
  <c r="F234" i="5"/>
  <c r="G234" i="5" s="1"/>
  <c r="F235" i="5"/>
  <c r="G235" i="5" s="1"/>
  <c r="F236" i="5"/>
  <c r="G236" i="5" s="1"/>
  <c r="F237" i="5"/>
  <c r="G237" i="5" s="1"/>
  <c r="F238" i="5"/>
  <c r="G238" i="5" s="1"/>
  <c r="F239" i="5"/>
  <c r="G239" i="5" s="1"/>
  <c r="F240" i="5"/>
  <c r="G240" i="5" s="1"/>
  <c r="F241" i="5"/>
  <c r="G241" i="5" s="1"/>
  <c r="F242" i="5"/>
  <c r="G242" i="5" s="1"/>
  <c r="F243" i="5"/>
  <c r="G243" i="5" s="1"/>
  <c r="F244" i="5"/>
  <c r="G244" i="5" s="1"/>
  <c r="F245" i="5"/>
  <c r="G245" i="5" s="1"/>
  <c r="F246" i="5"/>
  <c r="G246" i="5" s="1"/>
  <c r="F247" i="5"/>
  <c r="G247" i="5" s="1"/>
  <c r="F248" i="5"/>
  <c r="G248" i="5" s="1"/>
  <c r="F249" i="5"/>
  <c r="G249" i="5" s="1"/>
  <c r="F250" i="5"/>
  <c r="G250" i="5" s="1"/>
  <c r="F251" i="5"/>
  <c r="G251" i="5" s="1"/>
  <c r="F252" i="5"/>
  <c r="G252" i="5" s="1"/>
  <c r="F253" i="5"/>
  <c r="G253" i="5" s="1"/>
  <c r="F254" i="5"/>
  <c r="G254" i="5" s="1"/>
  <c r="F255" i="5"/>
  <c r="G255" i="5" s="1"/>
  <c r="F4" i="5"/>
  <c r="G4" i="5" s="1"/>
  <c r="E4" i="5"/>
  <c r="H3" i="5"/>
  <c r="N14" i="8" l="1"/>
  <c r="E5" i="5"/>
  <c r="G4" i="6"/>
  <c r="J3" i="6"/>
  <c r="H3" i="6"/>
  <c r="H4" i="5"/>
  <c r="J4" i="6" s="1"/>
  <c r="K4" i="6" s="1"/>
  <c r="G5" i="6" l="1"/>
  <c r="E6" i="5"/>
  <c r="L4" i="6"/>
  <c r="H5" i="5"/>
  <c r="J5" i="6" s="1"/>
  <c r="K5" i="6" s="1"/>
  <c r="H4" i="6"/>
  <c r="G6" i="6" l="1"/>
  <c r="E7" i="5"/>
  <c r="L5" i="6"/>
  <c r="H5" i="6"/>
  <c r="H6" i="5"/>
  <c r="J6" i="6" s="1"/>
  <c r="K6" i="6" s="1"/>
  <c r="E8" i="5" l="1"/>
  <c r="G7" i="6"/>
  <c r="L6" i="6"/>
  <c r="H6" i="6"/>
  <c r="H7" i="5"/>
  <c r="J7" i="6" s="1"/>
  <c r="K7" i="6" s="1"/>
  <c r="G8" i="6" l="1"/>
  <c r="E9" i="5"/>
  <c r="L7" i="6"/>
  <c r="H7" i="6"/>
  <c r="H8" i="5"/>
  <c r="J8" i="6" s="1"/>
  <c r="K8" i="6" s="1"/>
  <c r="E10" i="5" l="1"/>
  <c r="G9" i="6"/>
  <c r="L8" i="6"/>
  <c r="H8" i="6"/>
  <c r="H9" i="5"/>
  <c r="J9" i="6" s="1"/>
  <c r="K9" i="6" s="1"/>
  <c r="E11" i="5" l="1"/>
  <c r="G10" i="6"/>
  <c r="L9" i="6"/>
  <c r="H9" i="6"/>
  <c r="H10" i="5"/>
  <c r="J10" i="6" s="1"/>
  <c r="K10" i="6" s="1"/>
  <c r="E12" i="5" l="1"/>
  <c r="G11" i="6"/>
  <c r="L10" i="6"/>
  <c r="H10" i="6"/>
  <c r="H11" i="5"/>
  <c r="J11" i="6" s="1"/>
  <c r="K11" i="6" s="1"/>
  <c r="G12" i="6" l="1"/>
  <c r="E13" i="5"/>
  <c r="L11" i="6"/>
  <c r="H11" i="6"/>
  <c r="H12" i="5"/>
  <c r="J12" i="6" s="1"/>
  <c r="K12" i="6" s="1"/>
  <c r="E14" i="5" l="1"/>
  <c r="G13" i="6"/>
  <c r="L12" i="6"/>
  <c r="H12" i="6"/>
  <c r="H13" i="5"/>
  <c r="J13" i="6" s="1"/>
  <c r="K13" i="6" s="1"/>
  <c r="E15" i="5" l="1"/>
  <c r="G14" i="6"/>
  <c r="L13" i="6"/>
  <c r="H13" i="6"/>
  <c r="H14" i="5"/>
  <c r="J14" i="6" s="1"/>
  <c r="K14" i="6" s="1"/>
  <c r="E16" i="5" l="1"/>
  <c r="G15" i="6"/>
  <c r="L14" i="6"/>
  <c r="H14" i="6"/>
  <c r="H15" i="5"/>
  <c r="J15" i="6" s="1"/>
  <c r="K15" i="6" s="1"/>
  <c r="G16" i="6" l="1"/>
  <c r="E17" i="5"/>
  <c r="L15" i="6"/>
  <c r="H15" i="6"/>
  <c r="H16" i="5"/>
  <c r="J16" i="6" s="1"/>
  <c r="K16" i="6" s="1"/>
  <c r="E18" i="5" l="1"/>
  <c r="G17" i="6"/>
  <c r="L16" i="6"/>
  <c r="H16" i="6"/>
  <c r="H17" i="5"/>
  <c r="J17" i="6" s="1"/>
  <c r="K17" i="6" s="1"/>
  <c r="E19" i="5" l="1"/>
  <c r="G18" i="6"/>
  <c r="L17" i="6"/>
  <c r="H17" i="6"/>
  <c r="H18" i="5"/>
  <c r="J18" i="6" s="1"/>
  <c r="K18" i="6" s="1"/>
  <c r="G19" i="6" l="1"/>
  <c r="E20" i="5"/>
  <c r="L18" i="6"/>
  <c r="H18" i="6"/>
  <c r="H19" i="5"/>
  <c r="J19" i="6" s="1"/>
  <c r="K19" i="6" s="1"/>
  <c r="E21" i="5" l="1"/>
  <c r="G20" i="6"/>
  <c r="L19" i="6"/>
  <c r="H19" i="6"/>
  <c r="H20" i="5"/>
  <c r="J20" i="6" s="1"/>
  <c r="K20" i="6" s="1"/>
  <c r="E22" i="5" l="1"/>
  <c r="G21" i="6"/>
  <c r="L20" i="6"/>
  <c r="H20" i="6"/>
  <c r="H21" i="5"/>
  <c r="J21" i="6" s="1"/>
  <c r="K21" i="6" s="1"/>
  <c r="E23" i="5" l="1"/>
  <c r="G22" i="6"/>
  <c r="L21" i="6"/>
  <c r="H21" i="6"/>
  <c r="H22" i="5"/>
  <c r="J22" i="6" s="1"/>
  <c r="K22" i="6" s="1"/>
  <c r="E24" i="5" l="1"/>
  <c r="G23" i="6"/>
  <c r="L22" i="6"/>
  <c r="H22" i="6"/>
  <c r="H23" i="5"/>
  <c r="J23" i="6" s="1"/>
  <c r="K23" i="6" s="1"/>
  <c r="G24" i="6" l="1"/>
  <c r="E25" i="5"/>
  <c r="L23" i="6"/>
  <c r="H23" i="6"/>
  <c r="H24" i="5"/>
  <c r="J24" i="6" s="1"/>
  <c r="K24" i="6" s="1"/>
  <c r="E26" i="5" l="1"/>
  <c r="G25" i="6"/>
  <c r="L24" i="6"/>
  <c r="H24" i="6"/>
  <c r="H25" i="5"/>
  <c r="J25" i="6" s="1"/>
  <c r="K25" i="6" s="1"/>
  <c r="G26" i="6" l="1"/>
  <c r="E27" i="5"/>
  <c r="L25" i="6"/>
  <c r="H25" i="6"/>
  <c r="H26" i="5"/>
  <c r="J26" i="6" s="1"/>
  <c r="K26" i="6" s="1"/>
  <c r="G27" i="6" l="1"/>
  <c r="E28" i="5"/>
  <c r="L26" i="6"/>
  <c r="H26" i="6"/>
  <c r="H27" i="5"/>
  <c r="J27" i="6" s="1"/>
  <c r="K27" i="6" s="1"/>
  <c r="G28" i="6" l="1"/>
  <c r="E29" i="5"/>
  <c r="L27" i="6"/>
  <c r="H27" i="6"/>
  <c r="H28" i="5"/>
  <c r="J28" i="6" s="1"/>
  <c r="K28" i="6" s="1"/>
  <c r="E30" i="5" l="1"/>
  <c r="G29" i="6"/>
  <c r="L28" i="6"/>
  <c r="H28" i="6"/>
  <c r="H29" i="5"/>
  <c r="J29" i="6" s="1"/>
  <c r="K29" i="6" s="1"/>
  <c r="E31" i="5" l="1"/>
  <c r="G30" i="6"/>
  <c r="L29" i="6"/>
  <c r="H29" i="6"/>
  <c r="H30" i="5"/>
  <c r="J30" i="6" s="1"/>
  <c r="K30" i="6" s="1"/>
  <c r="E32" i="5" l="1"/>
  <c r="G31" i="6"/>
  <c r="L30" i="6"/>
  <c r="H30" i="6"/>
  <c r="H31" i="5"/>
  <c r="J31" i="6" s="1"/>
  <c r="K31" i="6" s="1"/>
  <c r="E33" i="5" l="1"/>
  <c r="G32" i="6"/>
  <c r="L31" i="6"/>
  <c r="H31" i="6"/>
  <c r="H32" i="5"/>
  <c r="J32" i="6" s="1"/>
  <c r="K32" i="6" s="1"/>
  <c r="E34" i="5" l="1"/>
  <c r="G33" i="6"/>
  <c r="L32" i="6"/>
  <c r="H32" i="6"/>
  <c r="H33" i="5"/>
  <c r="J33" i="6" s="1"/>
  <c r="K33" i="6" s="1"/>
  <c r="E35" i="5" l="1"/>
  <c r="G34" i="6"/>
  <c r="L33" i="6"/>
  <c r="H33" i="6"/>
  <c r="H34" i="5"/>
  <c r="J34" i="6" s="1"/>
  <c r="K34" i="6" s="1"/>
  <c r="E36" i="5" l="1"/>
  <c r="G35" i="6"/>
  <c r="L34" i="6"/>
  <c r="H34" i="6"/>
  <c r="H35" i="5"/>
  <c r="J35" i="6" s="1"/>
  <c r="K35" i="6" s="1"/>
  <c r="G36" i="6" l="1"/>
  <c r="E37" i="5"/>
  <c r="L35" i="6"/>
  <c r="H35" i="6"/>
  <c r="H36" i="5"/>
  <c r="J36" i="6" s="1"/>
  <c r="K36" i="6" s="1"/>
  <c r="E38" i="5" l="1"/>
  <c r="G37" i="6"/>
  <c r="L36" i="6"/>
  <c r="H36" i="6"/>
  <c r="H37" i="5"/>
  <c r="J37" i="6" s="1"/>
  <c r="K37" i="6" s="1"/>
  <c r="E39" i="5" l="1"/>
  <c r="G38" i="6"/>
  <c r="L37" i="6"/>
  <c r="H37" i="6"/>
  <c r="H38" i="5"/>
  <c r="J38" i="6" s="1"/>
  <c r="K38" i="6" s="1"/>
  <c r="E40" i="5" l="1"/>
  <c r="G39" i="6"/>
  <c r="L38" i="6"/>
  <c r="H38" i="6"/>
  <c r="H39" i="5"/>
  <c r="J39" i="6" s="1"/>
  <c r="K39" i="6" s="1"/>
  <c r="E41" i="5" l="1"/>
  <c r="G40" i="6"/>
  <c r="L39" i="6"/>
  <c r="H39" i="6"/>
  <c r="H40" i="5"/>
  <c r="J40" i="6" s="1"/>
  <c r="K40" i="6" s="1"/>
  <c r="E42" i="5" l="1"/>
  <c r="G41" i="6"/>
  <c r="L40" i="6"/>
  <c r="H40" i="6"/>
  <c r="H41" i="5"/>
  <c r="J41" i="6" s="1"/>
  <c r="K41" i="6" s="1"/>
  <c r="E43" i="5" l="1"/>
  <c r="G42" i="6"/>
  <c r="L41" i="6"/>
  <c r="H41" i="6"/>
  <c r="H42" i="5"/>
  <c r="J42" i="6" s="1"/>
  <c r="K42" i="6" s="1"/>
  <c r="E44" i="5" l="1"/>
  <c r="G43" i="6"/>
  <c r="L42" i="6"/>
  <c r="H42" i="6"/>
  <c r="H43" i="5"/>
  <c r="J43" i="6" s="1"/>
  <c r="K43" i="6" s="1"/>
  <c r="E45" i="5" l="1"/>
  <c r="G44" i="6"/>
  <c r="L43" i="6"/>
  <c r="H43" i="6"/>
  <c r="H44" i="5"/>
  <c r="J44" i="6" s="1"/>
  <c r="K44" i="6" s="1"/>
  <c r="E46" i="5" l="1"/>
  <c r="G45" i="6"/>
  <c r="L44" i="6"/>
  <c r="H44" i="6"/>
  <c r="H45" i="5"/>
  <c r="J45" i="6" s="1"/>
  <c r="K45" i="6" s="1"/>
  <c r="E47" i="5" l="1"/>
  <c r="G46" i="6"/>
  <c r="L45" i="6"/>
  <c r="H45" i="6"/>
  <c r="H46" i="5"/>
  <c r="J46" i="6" s="1"/>
  <c r="K46" i="6" s="1"/>
  <c r="G47" i="6" l="1"/>
  <c r="E48" i="5"/>
  <c r="L46" i="6"/>
  <c r="H46" i="6"/>
  <c r="H47" i="5"/>
  <c r="J47" i="6" s="1"/>
  <c r="K47" i="6" s="1"/>
  <c r="E49" i="5" l="1"/>
  <c r="G48" i="6"/>
  <c r="L47" i="6"/>
  <c r="H47" i="6"/>
  <c r="H48" i="5"/>
  <c r="J48" i="6" s="1"/>
  <c r="K48" i="6" s="1"/>
  <c r="E50" i="5" l="1"/>
  <c r="G49" i="6"/>
  <c r="L48" i="6"/>
  <c r="H48" i="6"/>
  <c r="H49" i="5"/>
  <c r="J49" i="6" s="1"/>
  <c r="K49" i="6" s="1"/>
  <c r="E51" i="5" l="1"/>
  <c r="G50" i="6"/>
  <c r="L49" i="6"/>
  <c r="H49" i="6"/>
  <c r="H50" i="5"/>
  <c r="J50" i="6" s="1"/>
  <c r="K50" i="6" s="1"/>
  <c r="G51" i="6" l="1"/>
  <c r="E52" i="5"/>
  <c r="L50" i="6"/>
  <c r="H50" i="6"/>
  <c r="H51" i="5"/>
  <c r="J51" i="6" s="1"/>
  <c r="K51" i="6" s="1"/>
  <c r="E53" i="5" l="1"/>
  <c r="G52" i="6"/>
  <c r="L51" i="6"/>
  <c r="H51" i="6"/>
  <c r="H52" i="5"/>
  <c r="J52" i="6" s="1"/>
  <c r="K52" i="6" s="1"/>
  <c r="E54" i="5" l="1"/>
  <c r="G53" i="6"/>
  <c r="L52" i="6"/>
  <c r="H52" i="6"/>
  <c r="H53" i="5"/>
  <c r="J53" i="6" s="1"/>
  <c r="K53" i="6" s="1"/>
  <c r="E55" i="5" l="1"/>
  <c r="G54" i="6"/>
  <c r="L53" i="6"/>
  <c r="H53" i="6"/>
  <c r="H54" i="5"/>
  <c r="J54" i="6" s="1"/>
  <c r="K54" i="6" s="1"/>
  <c r="G55" i="6" l="1"/>
  <c r="E56" i="5"/>
  <c r="L54" i="6"/>
  <c r="H54" i="6"/>
  <c r="H55" i="5"/>
  <c r="J55" i="6" s="1"/>
  <c r="K55" i="6" s="1"/>
  <c r="E57" i="5" l="1"/>
  <c r="G56" i="6"/>
  <c r="L55" i="6"/>
  <c r="H55" i="6"/>
  <c r="H56" i="5"/>
  <c r="J56" i="6" s="1"/>
  <c r="K56" i="6" s="1"/>
  <c r="E58" i="5" l="1"/>
  <c r="G57" i="6"/>
  <c r="L56" i="6"/>
  <c r="H56" i="6"/>
  <c r="H57" i="5"/>
  <c r="J57" i="6" s="1"/>
  <c r="K57" i="6" s="1"/>
  <c r="E59" i="5" l="1"/>
  <c r="G58" i="6"/>
  <c r="L57" i="6"/>
  <c r="H57" i="6"/>
  <c r="H58" i="5"/>
  <c r="J58" i="6" s="1"/>
  <c r="K58" i="6" s="1"/>
  <c r="E60" i="5" l="1"/>
  <c r="G59" i="6"/>
  <c r="L58" i="6"/>
  <c r="H58" i="6"/>
  <c r="H59" i="5"/>
  <c r="J59" i="6" s="1"/>
  <c r="K59" i="6" s="1"/>
  <c r="E61" i="5" l="1"/>
  <c r="G60" i="6"/>
  <c r="L59" i="6"/>
  <c r="H59" i="6"/>
  <c r="H60" i="5"/>
  <c r="J60" i="6" s="1"/>
  <c r="K60" i="6" s="1"/>
  <c r="E62" i="5" l="1"/>
  <c r="G61" i="6"/>
  <c r="L60" i="6"/>
  <c r="H60" i="6"/>
  <c r="H61" i="5"/>
  <c r="J61" i="6" s="1"/>
  <c r="K61" i="6" s="1"/>
  <c r="E63" i="5" l="1"/>
  <c r="G62" i="6"/>
  <c r="L61" i="6"/>
  <c r="H61" i="6"/>
  <c r="H62" i="5"/>
  <c r="J62" i="6" s="1"/>
  <c r="K62" i="6" s="1"/>
  <c r="G63" i="6" l="1"/>
  <c r="E64" i="5"/>
  <c r="L62" i="6"/>
  <c r="H62" i="6"/>
  <c r="H63" i="5"/>
  <c r="J63" i="6" s="1"/>
  <c r="K63" i="6" s="1"/>
  <c r="E65" i="5" l="1"/>
  <c r="G64" i="6"/>
  <c r="L63" i="6"/>
  <c r="H63" i="6"/>
  <c r="H64" i="5"/>
  <c r="J64" i="6" s="1"/>
  <c r="K64" i="6" s="1"/>
  <c r="G65" i="6" l="1"/>
  <c r="E66" i="5"/>
  <c r="L64" i="6"/>
  <c r="H64" i="6"/>
  <c r="H65" i="5"/>
  <c r="J65" i="6" s="1"/>
  <c r="K65" i="6" s="1"/>
  <c r="E67" i="5" l="1"/>
  <c r="G66" i="6"/>
  <c r="L65" i="6"/>
  <c r="H65" i="6"/>
  <c r="H66" i="5"/>
  <c r="J66" i="6" s="1"/>
  <c r="K66" i="6" s="1"/>
  <c r="G67" i="6" l="1"/>
  <c r="E68" i="5"/>
  <c r="L66" i="6"/>
  <c r="H66" i="6"/>
  <c r="H67" i="5"/>
  <c r="J67" i="6" s="1"/>
  <c r="K67" i="6" s="1"/>
  <c r="E69" i="5" l="1"/>
  <c r="G68" i="6"/>
  <c r="L67" i="6"/>
  <c r="H67" i="6"/>
  <c r="H68" i="5"/>
  <c r="J68" i="6" s="1"/>
  <c r="K68" i="6" s="1"/>
  <c r="E70" i="5" l="1"/>
  <c r="G69" i="6"/>
  <c r="L68" i="6"/>
  <c r="H68" i="6"/>
  <c r="H69" i="5"/>
  <c r="J69" i="6" s="1"/>
  <c r="K69" i="6" s="1"/>
  <c r="G70" i="6" l="1"/>
  <c r="E71" i="5"/>
  <c r="L69" i="6"/>
  <c r="H69" i="6"/>
  <c r="H70" i="5"/>
  <c r="J70" i="6" s="1"/>
  <c r="K70" i="6" s="1"/>
  <c r="E72" i="5" l="1"/>
  <c r="G71" i="6"/>
  <c r="L70" i="6"/>
  <c r="H70" i="6"/>
  <c r="H71" i="5"/>
  <c r="J71" i="6" s="1"/>
  <c r="K71" i="6" s="1"/>
  <c r="E73" i="5" l="1"/>
  <c r="G72" i="6"/>
  <c r="L71" i="6"/>
  <c r="H71" i="6"/>
  <c r="H72" i="5"/>
  <c r="J72" i="6" s="1"/>
  <c r="K72" i="6" s="1"/>
  <c r="G73" i="6" l="1"/>
  <c r="E74" i="5"/>
  <c r="L72" i="6"/>
  <c r="H72" i="6"/>
  <c r="H73" i="5"/>
  <c r="J73" i="6" s="1"/>
  <c r="K73" i="6" s="1"/>
  <c r="E75" i="5" l="1"/>
  <c r="G74" i="6"/>
  <c r="L73" i="6"/>
  <c r="H73" i="6"/>
  <c r="H74" i="5"/>
  <c r="J74" i="6" s="1"/>
  <c r="K74" i="6" s="1"/>
  <c r="E76" i="5" l="1"/>
  <c r="G75" i="6"/>
  <c r="L74" i="6"/>
  <c r="H74" i="6"/>
  <c r="H75" i="5"/>
  <c r="J75" i="6" s="1"/>
  <c r="K75" i="6" s="1"/>
  <c r="E77" i="5" l="1"/>
  <c r="G76" i="6"/>
  <c r="L75" i="6"/>
  <c r="H75" i="6"/>
  <c r="H76" i="5"/>
  <c r="J76" i="6" s="1"/>
  <c r="K76" i="6" s="1"/>
  <c r="G77" i="6" l="1"/>
  <c r="E78" i="5"/>
  <c r="L76" i="6"/>
  <c r="H76" i="6"/>
  <c r="H77" i="5"/>
  <c r="J77" i="6" s="1"/>
  <c r="K77" i="6" s="1"/>
  <c r="E79" i="5" l="1"/>
  <c r="G78" i="6"/>
  <c r="L77" i="6"/>
  <c r="H77" i="6"/>
  <c r="H78" i="5"/>
  <c r="J78" i="6" s="1"/>
  <c r="K78" i="6" s="1"/>
  <c r="G79" i="6" l="1"/>
  <c r="E80" i="5"/>
  <c r="L78" i="6"/>
  <c r="H78" i="6"/>
  <c r="H79" i="5"/>
  <c r="J79" i="6" s="1"/>
  <c r="K79" i="6" s="1"/>
  <c r="E81" i="5" l="1"/>
  <c r="G80" i="6"/>
  <c r="L79" i="6"/>
  <c r="H79" i="6"/>
  <c r="H80" i="5"/>
  <c r="J80" i="6" s="1"/>
  <c r="K80" i="6" s="1"/>
  <c r="E82" i="5" l="1"/>
  <c r="G81" i="6"/>
  <c r="L80" i="6"/>
  <c r="H80" i="6"/>
  <c r="H81" i="5"/>
  <c r="J81" i="6" s="1"/>
  <c r="K81" i="6" s="1"/>
  <c r="G82" i="6" l="1"/>
  <c r="E83" i="5"/>
  <c r="L81" i="6"/>
  <c r="H81" i="6"/>
  <c r="H82" i="5"/>
  <c r="J82" i="6" s="1"/>
  <c r="K82" i="6" s="1"/>
  <c r="G83" i="6" l="1"/>
  <c r="E84" i="5"/>
  <c r="L82" i="6"/>
  <c r="H82" i="6"/>
  <c r="H83" i="5"/>
  <c r="J83" i="6" s="1"/>
  <c r="K83" i="6" s="1"/>
  <c r="G84" i="6" l="1"/>
  <c r="E85" i="5"/>
  <c r="L83" i="6"/>
  <c r="H83" i="6"/>
  <c r="H84" i="5"/>
  <c r="J84" i="6" s="1"/>
  <c r="K84" i="6" s="1"/>
  <c r="E86" i="5" l="1"/>
  <c r="G85" i="6"/>
  <c r="L84" i="6"/>
  <c r="H84" i="6"/>
  <c r="H85" i="5"/>
  <c r="J85" i="6" s="1"/>
  <c r="K85" i="6" s="1"/>
  <c r="E87" i="5" l="1"/>
  <c r="G86" i="6"/>
  <c r="L85" i="6"/>
  <c r="H85" i="6"/>
  <c r="H86" i="5"/>
  <c r="J86" i="6" s="1"/>
  <c r="K86" i="6" s="1"/>
  <c r="E88" i="5" l="1"/>
  <c r="G87" i="6"/>
  <c r="L86" i="6"/>
  <c r="H86" i="6"/>
  <c r="H87" i="5"/>
  <c r="J87" i="6" s="1"/>
  <c r="K87" i="6" s="1"/>
  <c r="G88" i="6" l="1"/>
  <c r="E89" i="5"/>
  <c r="L87" i="6"/>
  <c r="H87" i="6"/>
  <c r="H88" i="5"/>
  <c r="J88" i="6" s="1"/>
  <c r="K88" i="6" s="1"/>
  <c r="E90" i="5" l="1"/>
  <c r="G89" i="6"/>
  <c r="L88" i="6"/>
  <c r="H88" i="6"/>
  <c r="H89" i="5"/>
  <c r="J89" i="6" s="1"/>
  <c r="K89" i="6" s="1"/>
  <c r="E91" i="5" l="1"/>
  <c r="G90" i="6"/>
  <c r="L89" i="6"/>
  <c r="H89" i="6"/>
  <c r="H90" i="5"/>
  <c r="J90" i="6" s="1"/>
  <c r="K90" i="6" s="1"/>
  <c r="E92" i="5" l="1"/>
  <c r="G91" i="6"/>
  <c r="L90" i="6"/>
  <c r="H90" i="6"/>
  <c r="H91" i="5"/>
  <c r="J91" i="6" s="1"/>
  <c r="K91" i="6" s="1"/>
  <c r="E93" i="5" l="1"/>
  <c r="G92" i="6"/>
  <c r="L91" i="6"/>
  <c r="H91" i="6"/>
  <c r="H92" i="5"/>
  <c r="J92" i="6" s="1"/>
  <c r="K92" i="6" s="1"/>
  <c r="E94" i="5" l="1"/>
  <c r="G93" i="6"/>
  <c r="L92" i="6"/>
  <c r="H92" i="6"/>
  <c r="H93" i="5"/>
  <c r="J93" i="6" s="1"/>
  <c r="K93" i="6" s="1"/>
  <c r="E95" i="5" l="1"/>
  <c r="G94" i="6"/>
  <c r="L93" i="6"/>
  <c r="H93" i="6"/>
  <c r="H94" i="5"/>
  <c r="J94" i="6" s="1"/>
  <c r="K94" i="6" s="1"/>
  <c r="G95" i="6" l="1"/>
  <c r="E96" i="5"/>
  <c r="L94" i="6"/>
  <c r="H94" i="6"/>
  <c r="H95" i="5"/>
  <c r="J95" i="6" s="1"/>
  <c r="K95" i="6" s="1"/>
  <c r="G96" i="6" l="1"/>
  <c r="E97" i="5"/>
  <c r="L95" i="6"/>
  <c r="H95" i="6"/>
  <c r="H96" i="5"/>
  <c r="J96" i="6" s="1"/>
  <c r="K96" i="6" s="1"/>
  <c r="E98" i="5" l="1"/>
  <c r="G97" i="6"/>
  <c r="L96" i="6"/>
  <c r="H96" i="6"/>
  <c r="H97" i="5"/>
  <c r="J97" i="6" s="1"/>
  <c r="K97" i="6" s="1"/>
  <c r="E99" i="5" l="1"/>
  <c r="G98" i="6"/>
  <c r="L97" i="6"/>
  <c r="H97" i="6"/>
  <c r="H98" i="5"/>
  <c r="J98" i="6" s="1"/>
  <c r="K98" i="6" s="1"/>
  <c r="E100" i="5" l="1"/>
  <c r="G99" i="6"/>
  <c r="L98" i="6"/>
  <c r="H98" i="6"/>
  <c r="H99" i="5"/>
  <c r="J99" i="6" s="1"/>
  <c r="K99" i="6" s="1"/>
  <c r="E101" i="5" l="1"/>
  <c r="G100" i="6"/>
  <c r="L99" i="6"/>
  <c r="H99" i="6"/>
  <c r="H100" i="5"/>
  <c r="J100" i="6" s="1"/>
  <c r="K100" i="6" s="1"/>
  <c r="G101" i="6" l="1"/>
  <c r="E102" i="5"/>
  <c r="L100" i="6"/>
  <c r="H100" i="6"/>
  <c r="H101" i="5"/>
  <c r="J101" i="6" s="1"/>
  <c r="K101" i="6" s="1"/>
  <c r="E103" i="5" l="1"/>
  <c r="G102" i="6"/>
  <c r="L101" i="6"/>
  <c r="H101" i="6"/>
  <c r="H102" i="5"/>
  <c r="J102" i="6" s="1"/>
  <c r="K102" i="6" s="1"/>
  <c r="G103" i="6" l="1"/>
  <c r="E104" i="5"/>
  <c r="L102" i="6"/>
  <c r="H102" i="6"/>
  <c r="H103" i="5"/>
  <c r="J103" i="6" s="1"/>
  <c r="K103" i="6" s="1"/>
  <c r="E105" i="5" l="1"/>
  <c r="G104" i="6"/>
  <c r="L103" i="6"/>
  <c r="H103" i="6"/>
  <c r="H104" i="5"/>
  <c r="J104" i="6" s="1"/>
  <c r="K104" i="6" s="1"/>
  <c r="E106" i="5" l="1"/>
  <c r="G105" i="6"/>
  <c r="L104" i="6"/>
  <c r="H104" i="6"/>
  <c r="H105" i="5"/>
  <c r="J105" i="6" s="1"/>
  <c r="K105" i="6" s="1"/>
  <c r="E107" i="5" l="1"/>
  <c r="G106" i="6"/>
  <c r="L105" i="6"/>
  <c r="H105" i="6"/>
  <c r="H106" i="5"/>
  <c r="J106" i="6" s="1"/>
  <c r="K106" i="6" s="1"/>
  <c r="E108" i="5" l="1"/>
  <c r="G107" i="6"/>
  <c r="L106" i="6"/>
  <c r="H106" i="6"/>
  <c r="H107" i="5"/>
  <c r="J107" i="6" s="1"/>
  <c r="K107" i="6" s="1"/>
  <c r="E109" i="5" l="1"/>
  <c r="G108" i="6"/>
  <c r="L107" i="6"/>
  <c r="H107" i="6"/>
  <c r="H108" i="5"/>
  <c r="J108" i="6" s="1"/>
  <c r="K108" i="6" s="1"/>
  <c r="E110" i="5" l="1"/>
  <c r="G109" i="6"/>
  <c r="L108" i="6"/>
  <c r="H108" i="6"/>
  <c r="H109" i="5"/>
  <c r="J109" i="6" s="1"/>
  <c r="K109" i="6" s="1"/>
  <c r="G110" i="6" l="1"/>
  <c r="E111" i="5"/>
  <c r="L109" i="6"/>
  <c r="H109" i="6"/>
  <c r="H110" i="5"/>
  <c r="J110" i="6" s="1"/>
  <c r="K110" i="6" s="1"/>
  <c r="G111" i="6" l="1"/>
  <c r="E112" i="5"/>
  <c r="L110" i="6"/>
  <c r="H110" i="6"/>
  <c r="H111" i="5"/>
  <c r="J111" i="6" s="1"/>
  <c r="K111" i="6" s="1"/>
  <c r="E113" i="5" l="1"/>
  <c r="G112" i="6"/>
  <c r="L111" i="6"/>
  <c r="H111" i="6"/>
  <c r="H112" i="5"/>
  <c r="J112" i="6" s="1"/>
  <c r="K112" i="6" s="1"/>
  <c r="G113" i="6" l="1"/>
  <c r="E114" i="5"/>
  <c r="L112" i="6"/>
  <c r="H112" i="6"/>
  <c r="H113" i="5"/>
  <c r="J113" i="6" s="1"/>
  <c r="K113" i="6" s="1"/>
  <c r="E115" i="5" l="1"/>
  <c r="G114" i="6"/>
  <c r="L113" i="6"/>
  <c r="H113" i="6"/>
  <c r="H114" i="5"/>
  <c r="J114" i="6" s="1"/>
  <c r="K114" i="6" s="1"/>
  <c r="E116" i="5" l="1"/>
  <c r="G115" i="6"/>
  <c r="L114" i="6"/>
  <c r="H114" i="6"/>
  <c r="H115" i="5"/>
  <c r="J115" i="6" s="1"/>
  <c r="K115" i="6" s="1"/>
  <c r="E117" i="5" l="1"/>
  <c r="G116" i="6"/>
  <c r="L115" i="6"/>
  <c r="H115" i="6"/>
  <c r="H116" i="5"/>
  <c r="J116" i="6" s="1"/>
  <c r="K116" i="6" s="1"/>
  <c r="E118" i="5" l="1"/>
  <c r="G117" i="6"/>
  <c r="L116" i="6"/>
  <c r="H116" i="6"/>
  <c r="H117" i="5"/>
  <c r="J117" i="6" s="1"/>
  <c r="K117" i="6" s="1"/>
  <c r="E119" i="5" l="1"/>
  <c r="G118" i="6"/>
  <c r="L117" i="6"/>
  <c r="H117" i="6"/>
  <c r="H118" i="5"/>
  <c r="J118" i="6" s="1"/>
  <c r="K118" i="6" s="1"/>
  <c r="E120" i="5" l="1"/>
  <c r="G119" i="6"/>
  <c r="L118" i="6"/>
  <c r="H118" i="6"/>
  <c r="H119" i="5"/>
  <c r="J119" i="6" s="1"/>
  <c r="K119" i="6" s="1"/>
  <c r="E121" i="5" l="1"/>
  <c r="G120" i="6"/>
  <c r="L119" i="6"/>
  <c r="H119" i="6"/>
  <c r="H120" i="5"/>
  <c r="J120" i="6" s="1"/>
  <c r="K120" i="6" s="1"/>
  <c r="E122" i="5" l="1"/>
  <c r="G121" i="6"/>
  <c r="L120" i="6"/>
  <c r="H120" i="6"/>
  <c r="H121" i="5"/>
  <c r="J121" i="6" s="1"/>
  <c r="K121" i="6" s="1"/>
  <c r="G122" i="6" l="1"/>
  <c r="E123" i="5"/>
  <c r="L121" i="6"/>
  <c r="H121" i="6"/>
  <c r="H122" i="5"/>
  <c r="J122" i="6" s="1"/>
  <c r="K122" i="6" s="1"/>
  <c r="E124" i="5" l="1"/>
  <c r="G123" i="6"/>
  <c r="L122" i="6"/>
  <c r="H122" i="6"/>
  <c r="H123" i="5"/>
  <c r="J123" i="6" s="1"/>
  <c r="K123" i="6" s="1"/>
  <c r="E125" i="5" l="1"/>
  <c r="G124" i="6"/>
  <c r="L123" i="6"/>
  <c r="H123" i="6"/>
  <c r="H124" i="5"/>
  <c r="J124" i="6" s="1"/>
  <c r="K124" i="6" s="1"/>
  <c r="E126" i="5" l="1"/>
  <c r="G125" i="6"/>
  <c r="L124" i="6"/>
  <c r="H124" i="6"/>
  <c r="H125" i="5"/>
  <c r="J125" i="6" s="1"/>
  <c r="K125" i="6" s="1"/>
  <c r="E127" i="5" l="1"/>
  <c r="G126" i="6"/>
  <c r="L125" i="6"/>
  <c r="H125" i="6"/>
  <c r="H126" i="5"/>
  <c r="J126" i="6" s="1"/>
  <c r="K126" i="6" s="1"/>
  <c r="G127" i="6" l="1"/>
  <c r="E128" i="5"/>
  <c r="L126" i="6"/>
  <c r="H126" i="6"/>
  <c r="H127" i="5"/>
  <c r="J127" i="6" s="1"/>
  <c r="K127" i="6" s="1"/>
  <c r="G128" i="6" l="1"/>
  <c r="E129" i="5"/>
  <c r="L127" i="6"/>
  <c r="H127" i="6"/>
  <c r="H128" i="5"/>
  <c r="J128" i="6" s="1"/>
  <c r="K128" i="6" s="1"/>
  <c r="E130" i="5" l="1"/>
  <c r="G129" i="6"/>
  <c r="L128" i="6"/>
  <c r="H128" i="6"/>
  <c r="H129" i="5"/>
  <c r="J129" i="6" s="1"/>
  <c r="K129" i="6" s="1"/>
  <c r="E131" i="5" l="1"/>
  <c r="G130" i="6"/>
  <c r="L129" i="6"/>
  <c r="H129" i="6"/>
  <c r="H130" i="5"/>
  <c r="J130" i="6" s="1"/>
  <c r="K130" i="6" s="1"/>
  <c r="G131" i="6" l="1"/>
  <c r="E132" i="5"/>
  <c r="L130" i="6"/>
  <c r="H130" i="6"/>
  <c r="H131" i="5"/>
  <c r="J131" i="6" s="1"/>
  <c r="K131" i="6" s="1"/>
  <c r="E133" i="5" l="1"/>
  <c r="G132" i="6"/>
  <c r="L131" i="6"/>
  <c r="H131" i="6"/>
  <c r="H132" i="5"/>
  <c r="J132" i="6" s="1"/>
  <c r="K132" i="6" s="1"/>
  <c r="E134" i="5" l="1"/>
  <c r="G133" i="6"/>
  <c r="L132" i="6"/>
  <c r="H132" i="6"/>
  <c r="H133" i="5"/>
  <c r="J133" i="6" s="1"/>
  <c r="K133" i="6" s="1"/>
  <c r="E135" i="5" l="1"/>
  <c r="G134" i="6"/>
  <c r="L133" i="6"/>
  <c r="H133" i="6"/>
  <c r="H134" i="5"/>
  <c r="J134" i="6" s="1"/>
  <c r="K134" i="6" s="1"/>
  <c r="E136" i="5" l="1"/>
  <c r="G135" i="6"/>
  <c r="L134" i="6"/>
  <c r="H134" i="6"/>
  <c r="H135" i="5"/>
  <c r="J135" i="6" s="1"/>
  <c r="K135" i="6" s="1"/>
  <c r="E137" i="5" l="1"/>
  <c r="G136" i="6"/>
  <c r="L135" i="6"/>
  <c r="H135" i="6"/>
  <c r="H136" i="5"/>
  <c r="J136" i="6" s="1"/>
  <c r="K136" i="6" s="1"/>
  <c r="E138" i="5" l="1"/>
  <c r="G137" i="6"/>
  <c r="L136" i="6"/>
  <c r="H136" i="6"/>
  <c r="H137" i="5"/>
  <c r="J137" i="6" s="1"/>
  <c r="K137" i="6" s="1"/>
  <c r="E139" i="5" l="1"/>
  <c r="G138" i="6"/>
  <c r="L137" i="6"/>
  <c r="H137" i="6"/>
  <c r="H138" i="5"/>
  <c r="J138" i="6" s="1"/>
  <c r="K138" i="6" s="1"/>
  <c r="G139" i="6" l="1"/>
  <c r="E140" i="5"/>
  <c r="L138" i="6"/>
  <c r="H138" i="6"/>
  <c r="H139" i="5"/>
  <c r="J139" i="6" s="1"/>
  <c r="K139" i="6" s="1"/>
  <c r="E141" i="5" l="1"/>
  <c r="G140" i="6"/>
  <c r="L139" i="6"/>
  <c r="H139" i="6"/>
  <c r="H140" i="5"/>
  <c r="J140" i="6" s="1"/>
  <c r="K140" i="6" s="1"/>
  <c r="E142" i="5" l="1"/>
  <c r="G141" i="6"/>
  <c r="L140" i="6"/>
  <c r="H140" i="6"/>
  <c r="H141" i="5"/>
  <c r="J141" i="6" s="1"/>
  <c r="K141" i="6" s="1"/>
  <c r="E143" i="5" l="1"/>
  <c r="G142" i="6"/>
  <c r="L141" i="6"/>
  <c r="H141" i="6"/>
  <c r="H142" i="5"/>
  <c r="J142" i="6" s="1"/>
  <c r="K142" i="6" s="1"/>
  <c r="G143" i="6" l="1"/>
  <c r="E144" i="5"/>
  <c r="L142" i="6"/>
  <c r="H142" i="6"/>
  <c r="H143" i="5"/>
  <c r="J143" i="6" s="1"/>
  <c r="K143" i="6" s="1"/>
  <c r="E145" i="5" l="1"/>
  <c r="G144" i="6"/>
  <c r="L143" i="6"/>
  <c r="H143" i="6"/>
  <c r="H144" i="5"/>
  <c r="J144" i="6" s="1"/>
  <c r="K144" i="6" s="1"/>
  <c r="E146" i="5" l="1"/>
  <c r="G145" i="6"/>
  <c r="L144" i="6"/>
  <c r="H144" i="6"/>
  <c r="H145" i="5"/>
  <c r="J145" i="6" s="1"/>
  <c r="K145" i="6" s="1"/>
  <c r="E147" i="5" l="1"/>
  <c r="G146" i="6"/>
  <c r="L145" i="6"/>
  <c r="H145" i="6"/>
  <c r="H146" i="5"/>
  <c r="J146" i="6" s="1"/>
  <c r="K146" i="6" s="1"/>
  <c r="E148" i="5" l="1"/>
  <c r="G147" i="6"/>
  <c r="L146" i="6"/>
  <c r="H146" i="6"/>
  <c r="H147" i="5"/>
  <c r="J147" i="6" s="1"/>
  <c r="K147" i="6" s="1"/>
  <c r="G148" i="6" l="1"/>
  <c r="E149" i="5"/>
  <c r="L147" i="6"/>
  <c r="H147" i="6"/>
  <c r="H148" i="5"/>
  <c r="J148" i="6" s="1"/>
  <c r="K148" i="6" s="1"/>
  <c r="E150" i="5" l="1"/>
  <c r="G149" i="6"/>
  <c r="L148" i="6"/>
  <c r="H148" i="6"/>
  <c r="H149" i="5"/>
  <c r="J149" i="6" s="1"/>
  <c r="K149" i="6" s="1"/>
  <c r="E151" i="5" l="1"/>
  <c r="G150" i="6"/>
  <c r="L149" i="6"/>
  <c r="H149" i="6"/>
  <c r="H150" i="5"/>
  <c r="J150" i="6" s="1"/>
  <c r="K150" i="6" s="1"/>
  <c r="G151" i="6" l="1"/>
  <c r="E152" i="5"/>
  <c r="L150" i="6"/>
  <c r="H150" i="6"/>
  <c r="H151" i="5"/>
  <c r="J151" i="6" s="1"/>
  <c r="K151" i="6" s="1"/>
  <c r="E153" i="5" l="1"/>
  <c r="G152" i="6"/>
  <c r="L151" i="6"/>
  <c r="H151" i="6"/>
  <c r="H152" i="5"/>
  <c r="J152" i="6" s="1"/>
  <c r="K152" i="6" s="1"/>
  <c r="E154" i="5" l="1"/>
  <c r="G153" i="6"/>
  <c r="L152" i="6"/>
  <c r="H152" i="6"/>
  <c r="H153" i="5"/>
  <c r="J153" i="6" s="1"/>
  <c r="K153" i="6" s="1"/>
  <c r="G154" i="6" l="1"/>
  <c r="E155" i="5"/>
  <c r="L153" i="6"/>
  <c r="H153" i="6"/>
  <c r="H154" i="5"/>
  <c r="J154" i="6" s="1"/>
  <c r="K154" i="6" s="1"/>
  <c r="E156" i="5" l="1"/>
  <c r="G155" i="6"/>
  <c r="L154" i="6"/>
  <c r="H154" i="6"/>
  <c r="H155" i="5"/>
  <c r="J155" i="6" s="1"/>
  <c r="K155" i="6" s="1"/>
  <c r="E157" i="5" l="1"/>
  <c r="G156" i="6"/>
  <c r="L155" i="6"/>
  <c r="H155" i="6"/>
  <c r="H156" i="5"/>
  <c r="J156" i="6" s="1"/>
  <c r="K156" i="6" s="1"/>
  <c r="E158" i="5" l="1"/>
  <c r="G157" i="6"/>
  <c r="L156" i="6"/>
  <c r="H156" i="6"/>
  <c r="H157" i="5"/>
  <c r="J157" i="6" s="1"/>
  <c r="K157" i="6" s="1"/>
  <c r="G158" i="6" l="1"/>
  <c r="E159" i="5"/>
  <c r="L157" i="6"/>
  <c r="H157" i="6"/>
  <c r="H158" i="5"/>
  <c r="J158" i="6" s="1"/>
  <c r="K158" i="6" s="1"/>
  <c r="G159" i="6" l="1"/>
  <c r="E160" i="5"/>
  <c r="L158" i="6"/>
  <c r="H158" i="6"/>
  <c r="H159" i="5"/>
  <c r="J159" i="6" s="1"/>
  <c r="K159" i="6" s="1"/>
  <c r="E161" i="5" l="1"/>
  <c r="G160" i="6"/>
  <c r="L159" i="6"/>
  <c r="H159" i="6"/>
  <c r="H160" i="5"/>
  <c r="J160" i="6" s="1"/>
  <c r="K160" i="6" s="1"/>
  <c r="G161" i="6" l="1"/>
  <c r="E162" i="5"/>
  <c r="L160" i="6"/>
  <c r="H160" i="6"/>
  <c r="H161" i="5"/>
  <c r="J161" i="6" s="1"/>
  <c r="K161" i="6" s="1"/>
  <c r="G162" i="6" l="1"/>
  <c r="E163" i="5"/>
  <c r="L161" i="6"/>
  <c r="H161" i="6"/>
  <c r="H162" i="5"/>
  <c r="J162" i="6" s="1"/>
  <c r="K162" i="6" s="1"/>
  <c r="G163" i="6" l="1"/>
  <c r="E164" i="5"/>
  <c r="L162" i="6"/>
  <c r="H162" i="6"/>
  <c r="H163" i="5"/>
  <c r="J163" i="6" s="1"/>
  <c r="K163" i="6" s="1"/>
  <c r="E165" i="5" l="1"/>
  <c r="G164" i="6"/>
  <c r="L163" i="6"/>
  <c r="H163" i="6"/>
  <c r="H164" i="5"/>
  <c r="J164" i="6" s="1"/>
  <c r="K164" i="6" s="1"/>
  <c r="G165" i="6" l="1"/>
  <c r="E166" i="5"/>
  <c r="L164" i="6"/>
  <c r="H164" i="6"/>
  <c r="H165" i="5"/>
  <c r="J165" i="6" s="1"/>
  <c r="K165" i="6" s="1"/>
  <c r="E167" i="5" l="1"/>
  <c r="G166" i="6"/>
  <c r="L165" i="6"/>
  <c r="H165" i="6"/>
  <c r="H166" i="5"/>
  <c r="J166" i="6" s="1"/>
  <c r="K166" i="6" s="1"/>
  <c r="E168" i="5" l="1"/>
  <c r="G167" i="6"/>
  <c r="L166" i="6"/>
  <c r="H166" i="6"/>
  <c r="H167" i="5"/>
  <c r="J167" i="6" s="1"/>
  <c r="K167" i="6" s="1"/>
  <c r="G168" i="6" l="1"/>
  <c r="E169" i="5"/>
  <c r="L167" i="6"/>
  <c r="H167" i="6"/>
  <c r="H168" i="5"/>
  <c r="J168" i="6" s="1"/>
  <c r="K168" i="6" s="1"/>
  <c r="G169" i="6" l="1"/>
  <c r="E170" i="5"/>
  <c r="L168" i="6"/>
  <c r="H168" i="6"/>
  <c r="H169" i="5"/>
  <c r="J169" i="6" s="1"/>
  <c r="K169" i="6" s="1"/>
  <c r="E171" i="5" l="1"/>
  <c r="G170" i="6"/>
  <c r="L169" i="6"/>
  <c r="H169" i="6"/>
  <c r="H170" i="5"/>
  <c r="J170" i="6" s="1"/>
  <c r="K170" i="6" s="1"/>
  <c r="G171" i="6" l="1"/>
  <c r="E172" i="5"/>
  <c r="L170" i="6"/>
  <c r="H170" i="6"/>
  <c r="H171" i="5"/>
  <c r="J171" i="6" s="1"/>
  <c r="K171" i="6" s="1"/>
  <c r="E173" i="5" l="1"/>
  <c r="G172" i="6"/>
  <c r="L171" i="6"/>
  <c r="H171" i="6"/>
  <c r="H172" i="5"/>
  <c r="J172" i="6" s="1"/>
  <c r="K172" i="6" s="1"/>
  <c r="E174" i="5" l="1"/>
  <c r="G173" i="6"/>
  <c r="L172" i="6"/>
  <c r="H172" i="6"/>
  <c r="H173" i="5"/>
  <c r="J173" i="6" s="1"/>
  <c r="K173" i="6" s="1"/>
  <c r="E175" i="5" l="1"/>
  <c r="G174" i="6"/>
  <c r="L173" i="6"/>
  <c r="H173" i="6"/>
  <c r="H174" i="5"/>
  <c r="J174" i="6" s="1"/>
  <c r="K174" i="6" s="1"/>
  <c r="E176" i="5" l="1"/>
  <c r="G175" i="6"/>
  <c r="L174" i="6"/>
  <c r="H174" i="6"/>
  <c r="H175" i="5"/>
  <c r="J175" i="6" s="1"/>
  <c r="K175" i="6" s="1"/>
  <c r="G176" i="6" l="1"/>
  <c r="E177" i="5"/>
  <c r="L175" i="6"/>
  <c r="H175" i="6"/>
  <c r="H176" i="5"/>
  <c r="J176" i="6" s="1"/>
  <c r="K176" i="6" s="1"/>
  <c r="E178" i="5" l="1"/>
  <c r="G177" i="6"/>
  <c r="L176" i="6"/>
  <c r="H176" i="6"/>
  <c r="H177" i="5"/>
  <c r="J177" i="6" s="1"/>
  <c r="K177" i="6" s="1"/>
  <c r="E179" i="5" l="1"/>
  <c r="G178" i="6"/>
  <c r="L177" i="6"/>
  <c r="H177" i="6"/>
  <c r="H178" i="5"/>
  <c r="J178" i="6" s="1"/>
  <c r="K178" i="6" s="1"/>
  <c r="E180" i="5" l="1"/>
  <c r="G179" i="6"/>
  <c r="L178" i="6"/>
  <c r="H178" i="6"/>
  <c r="H179" i="5"/>
  <c r="J179" i="6" s="1"/>
  <c r="K179" i="6" s="1"/>
  <c r="E181" i="5" l="1"/>
  <c r="G180" i="6"/>
  <c r="L179" i="6"/>
  <c r="H179" i="6"/>
  <c r="H180" i="5"/>
  <c r="J180" i="6" s="1"/>
  <c r="K180" i="6" s="1"/>
  <c r="E182" i="5" l="1"/>
  <c r="G181" i="6"/>
  <c r="L180" i="6"/>
  <c r="H180" i="6"/>
  <c r="H181" i="5"/>
  <c r="J181" i="6" s="1"/>
  <c r="K181" i="6" s="1"/>
  <c r="E183" i="5" l="1"/>
  <c r="G182" i="6"/>
  <c r="L181" i="6"/>
  <c r="H181" i="6"/>
  <c r="H182" i="5"/>
  <c r="J182" i="6" s="1"/>
  <c r="K182" i="6" s="1"/>
  <c r="G183" i="6" l="1"/>
  <c r="E184" i="5"/>
  <c r="L182" i="6"/>
  <c r="H182" i="6"/>
  <c r="H183" i="5"/>
  <c r="J183" i="6" s="1"/>
  <c r="N15" i="8" s="1"/>
  <c r="E185" i="5" l="1"/>
  <c r="G184" i="6"/>
  <c r="K183" i="6"/>
  <c r="L183" i="6" s="1"/>
  <c r="R11" i="10"/>
  <c r="H183" i="6"/>
  <c r="H184" i="5"/>
  <c r="J184" i="6" s="1"/>
  <c r="K184" i="6" s="1"/>
  <c r="G185" i="6" l="1"/>
  <c r="E186" i="5"/>
  <c r="L184" i="6"/>
  <c r="H184" i="6"/>
  <c r="H185" i="5"/>
  <c r="J185" i="6" s="1"/>
  <c r="K185" i="6" s="1"/>
  <c r="G186" i="6" l="1"/>
  <c r="E187" i="5"/>
  <c r="L185" i="6"/>
  <c r="H185" i="6"/>
  <c r="H186" i="5"/>
  <c r="J186" i="6" s="1"/>
  <c r="K186" i="6" s="1"/>
  <c r="E188" i="5" l="1"/>
  <c r="G187" i="6"/>
  <c r="L186" i="6"/>
  <c r="H186" i="6"/>
  <c r="H187" i="5"/>
  <c r="J187" i="6" s="1"/>
  <c r="K187" i="6" s="1"/>
  <c r="E189" i="5" l="1"/>
  <c r="G188" i="6"/>
  <c r="L187" i="6"/>
  <c r="H187" i="6"/>
  <c r="H188" i="5"/>
  <c r="J188" i="6" s="1"/>
  <c r="K188" i="6" s="1"/>
  <c r="E190" i="5" l="1"/>
  <c r="G189" i="6"/>
  <c r="L188" i="6"/>
  <c r="H188" i="6"/>
  <c r="H189" i="5"/>
  <c r="J189" i="6" s="1"/>
  <c r="K189" i="6" s="1"/>
  <c r="E191" i="5" l="1"/>
  <c r="G190" i="6"/>
  <c r="L189" i="6"/>
  <c r="H189" i="6"/>
  <c r="H190" i="5"/>
  <c r="J190" i="6" s="1"/>
  <c r="K190" i="6" s="1"/>
  <c r="G191" i="6" l="1"/>
  <c r="E192" i="5"/>
  <c r="L190" i="6"/>
  <c r="H190" i="6"/>
  <c r="H191" i="5"/>
  <c r="J191" i="6" s="1"/>
  <c r="K191" i="6" s="1"/>
  <c r="G192" i="6" l="1"/>
  <c r="E193" i="5"/>
  <c r="L191" i="6"/>
  <c r="H191" i="6"/>
  <c r="H192" i="5"/>
  <c r="J192" i="6" s="1"/>
  <c r="K192" i="6" s="1"/>
  <c r="G193" i="6" l="1"/>
  <c r="E194" i="5"/>
  <c r="L192" i="6"/>
  <c r="H192" i="6"/>
  <c r="H193" i="5"/>
  <c r="J193" i="6" s="1"/>
  <c r="N16" i="8" s="1"/>
  <c r="G194" i="6" l="1"/>
  <c r="E195" i="5"/>
  <c r="K193" i="6"/>
  <c r="L193" i="6" s="1"/>
  <c r="H193" i="6"/>
  <c r="H194" i="5"/>
  <c r="J194" i="6" s="1"/>
  <c r="K194" i="6" s="1"/>
  <c r="G195" i="6" l="1"/>
  <c r="E196" i="5"/>
  <c r="N17" i="8"/>
  <c r="G26" i="9" s="1"/>
  <c r="R12" i="10"/>
  <c r="L194" i="6"/>
  <c r="H194" i="6"/>
  <c r="H195" i="5"/>
  <c r="J195" i="6" s="1"/>
  <c r="K195" i="6" s="1"/>
  <c r="E197" i="5" l="1"/>
  <c r="G196" i="6"/>
  <c r="R9" i="10"/>
  <c r="G25" i="9"/>
  <c r="R10" i="10"/>
  <c r="G27" i="9"/>
  <c r="L195" i="6"/>
  <c r="H195" i="6"/>
  <c r="H196" i="5"/>
  <c r="J196" i="6" s="1"/>
  <c r="K196" i="6" s="1"/>
  <c r="E198" i="5" l="1"/>
  <c r="G197" i="6"/>
  <c r="L196" i="6"/>
  <c r="H196" i="6"/>
  <c r="H197" i="5"/>
  <c r="J197" i="6" s="1"/>
  <c r="K197" i="6" s="1"/>
  <c r="E199" i="5" l="1"/>
  <c r="G198" i="6"/>
  <c r="L197" i="6"/>
  <c r="H197" i="6"/>
  <c r="H198" i="5"/>
  <c r="J198" i="6" s="1"/>
  <c r="K198" i="6" s="1"/>
  <c r="G199" i="6" l="1"/>
  <c r="E200" i="5"/>
  <c r="L198" i="6"/>
  <c r="H198" i="6"/>
  <c r="H199" i="5"/>
  <c r="J199" i="6" s="1"/>
  <c r="K199" i="6" s="1"/>
  <c r="E201" i="5" l="1"/>
  <c r="G200" i="6"/>
  <c r="L199" i="6"/>
  <c r="H199" i="6"/>
  <c r="H200" i="5"/>
  <c r="J200" i="6" s="1"/>
  <c r="K200" i="6" s="1"/>
  <c r="G201" i="6" l="1"/>
  <c r="E202" i="5"/>
  <c r="L200" i="6"/>
  <c r="H200" i="6"/>
  <c r="H201" i="5"/>
  <c r="J201" i="6" s="1"/>
  <c r="K201" i="6" s="1"/>
  <c r="E203" i="5" l="1"/>
  <c r="G202" i="6"/>
  <c r="L201" i="6"/>
  <c r="H201" i="6"/>
  <c r="H202" i="5"/>
  <c r="J202" i="6" s="1"/>
  <c r="K202" i="6" s="1"/>
  <c r="E204" i="5" l="1"/>
  <c r="G203" i="6"/>
  <c r="L202" i="6"/>
  <c r="H202" i="6"/>
  <c r="H203" i="5"/>
  <c r="J203" i="6" s="1"/>
  <c r="K203" i="6" s="1"/>
  <c r="E205" i="5" l="1"/>
  <c r="G204" i="6"/>
  <c r="L203" i="6"/>
  <c r="H203" i="6"/>
  <c r="H204" i="5"/>
  <c r="J204" i="6" s="1"/>
  <c r="K204" i="6" s="1"/>
  <c r="E206" i="5" l="1"/>
  <c r="G205" i="6"/>
  <c r="L204" i="6"/>
  <c r="H204" i="6"/>
  <c r="H205" i="5"/>
  <c r="J205" i="6" s="1"/>
  <c r="K205" i="6" s="1"/>
  <c r="E207" i="5" l="1"/>
  <c r="G206" i="6"/>
  <c r="L205" i="6"/>
  <c r="H205" i="6"/>
  <c r="H206" i="5"/>
  <c r="J206" i="6" s="1"/>
  <c r="K206" i="6" s="1"/>
  <c r="E208" i="5" l="1"/>
  <c r="G207" i="6"/>
  <c r="L206" i="6"/>
  <c r="H206" i="6"/>
  <c r="H207" i="5"/>
  <c r="J207" i="6" s="1"/>
  <c r="K207" i="6" s="1"/>
  <c r="G208" i="6" l="1"/>
  <c r="E209" i="5"/>
  <c r="L207" i="6"/>
  <c r="H207" i="6"/>
  <c r="H208" i="5"/>
  <c r="J208" i="6" s="1"/>
  <c r="K208" i="6" s="1"/>
  <c r="E210" i="5" l="1"/>
  <c r="G209" i="6"/>
  <c r="L208" i="6"/>
  <c r="H208" i="6"/>
  <c r="H209" i="5"/>
  <c r="J209" i="6" s="1"/>
  <c r="K209" i="6" s="1"/>
  <c r="G210" i="6" l="1"/>
  <c r="E211" i="5"/>
  <c r="L209" i="6"/>
  <c r="H209" i="6"/>
  <c r="H210" i="5"/>
  <c r="J210" i="6" s="1"/>
  <c r="K210" i="6" s="1"/>
  <c r="G211" i="6" l="1"/>
  <c r="E212" i="5"/>
  <c r="L210" i="6"/>
  <c r="H210" i="6"/>
  <c r="H211" i="5"/>
  <c r="J211" i="6" s="1"/>
  <c r="K211" i="6" s="1"/>
  <c r="G212" i="6" l="1"/>
  <c r="E213" i="5"/>
  <c r="L211" i="6"/>
  <c r="H211" i="6"/>
  <c r="H212" i="5"/>
  <c r="J212" i="6" s="1"/>
  <c r="K212" i="6" s="1"/>
  <c r="E214" i="5" l="1"/>
  <c r="G213" i="6"/>
  <c r="L212" i="6"/>
  <c r="H212" i="6"/>
  <c r="H213" i="5"/>
  <c r="J213" i="6" s="1"/>
  <c r="K213" i="6" s="1"/>
  <c r="E215" i="5" l="1"/>
  <c r="G214" i="6"/>
  <c r="L213" i="6"/>
  <c r="H213" i="6"/>
  <c r="H214" i="5"/>
  <c r="J214" i="6" s="1"/>
  <c r="K214" i="6" s="1"/>
  <c r="E216" i="5" l="1"/>
  <c r="G215" i="6"/>
  <c r="L214" i="6"/>
  <c r="H214" i="6"/>
  <c r="H215" i="5"/>
  <c r="J215" i="6" s="1"/>
  <c r="K215" i="6" s="1"/>
  <c r="E217" i="5" l="1"/>
  <c r="G216" i="6"/>
  <c r="L215" i="6"/>
  <c r="H215" i="6"/>
  <c r="H216" i="5"/>
  <c r="J216" i="6" s="1"/>
  <c r="K216" i="6" s="1"/>
  <c r="E218" i="5" l="1"/>
  <c r="G217" i="6"/>
  <c r="L216" i="6"/>
  <c r="H216" i="6"/>
  <c r="H217" i="5"/>
  <c r="J217" i="6" s="1"/>
  <c r="K217" i="6" s="1"/>
  <c r="E219" i="5" l="1"/>
  <c r="G218" i="6"/>
  <c r="L217" i="6"/>
  <c r="H217" i="6"/>
  <c r="H218" i="5"/>
  <c r="J218" i="6" s="1"/>
  <c r="K218" i="6" s="1"/>
  <c r="G219" i="6" l="1"/>
  <c r="E220" i="5"/>
  <c r="L218" i="6"/>
  <c r="H218" i="6"/>
  <c r="H219" i="5"/>
  <c r="J219" i="6" s="1"/>
  <c r="K219" i="6" s="1"/>
  <c r="G220" i="6" l="1"/>
  <c r="E221" i="5"/>
  <c r="L219" i="6"/>
  <c r="H219" i="6"/>
  <c r="H220" i="5"/>
  <c r="J220" i="6" s="1"/>
  <c r="K220" i="6" s="1"/>
  <c r="G221" i="6" l="1"/>
  <c r="E222" i="5"/>
  <c r="L220" i="6"/>
  <c r="H220" i="6"/>
  <c r="H221" i="5"/>
  <c r="J221" i="6" s="1"/>
  <c r="K221" i="6" s="1"/>
  <c r="G222" i="6" l="1"/>
  <c r="E223" i="5"/>
  <c r="L221" i="6"/>
  <c r="H221" i="6"/>
  <c r="H222" i="5"/>
  <c r="J222" i="6" s="1"/>
  <c r="K222" i="6" s="1"/>
  <c r="E224" i="5" l="1"/>
  <c r="G223" i="6"/>
  <c r="L222" i="6"/>
  <c r="H222" i="6"/>
  <c r="H223" i="5"/>
  <c r="J223" i="6" s="1"/>
  <c r="K223" i="6" s="1"/>
  <c r="G224" i="6" l="1"/>
  <c r="E225" i="5"/>
  <c r="L223" i="6"/>
  <c r="H223" i="6"/>
  <c r="H224" i="5"/>
  <c r="J224" i="6" s="1"/>
  <c r="K224" i="6" s="1"/>
  <c r="E226" i="5" l="1"/>
  <c r="G225" i="6"/>
  <c r="L224" i="6"/>
  <c r="H224" i="6"/>
  <c r="H225" i="5"/>
  <c r="J225" i="6" s="1"/>
  <c r="K225" i="6" s="1"/>
  <c r="G226" i="6" l="1"/>
  <c r="E227" i="5"/>
  <c r="L225" i="6"/>
  <c r="H225" i="6"/>
  <c r="H226" i="5"/>
  <c r="J226" i="6" s="1"/>
  <c r="K226" i="6" s="1"/>
  <c r="E228" i="5" l="1"/>
  <c r="G227" i="6"/>
  <c r="L226" i="6"/>
  <c r="H226" i="6"/>
  <c r="H227" i="5"/>
  <c r="J227" i="6" s="1"/>
  <c r="K227" i="6" s="1"/>
  <c r="E229" i="5" l="1"/>
  <c r="G228" i="6"/>
  <c r="L227" i="6"/>
  <c r="H227" i="6"/>
  <c r="H228" i="5"/>
  <c r="J228" i="6" s="1"/>
  <c r="K228" i="6" s="1"/>
  <c r="E230" i="5" l="1"/>
  <c r="G229" i="6"/>
  <c r="L228" i="6"/>
  <c r="H228" i="6"/>
  <c r="H229" i="5"/>
  <c r="J229" i="6" s="1"/>
  <c r="K229" i="6" s="1"/>
  <c r="E231" i="5" l="1"/>
  <c r="G230" i="6"/>
  <c r="L229" i="6"/>
  <c r="H229" i="6"/>
  <c r="H230" i="5"/>
  <c r="J230" i="6" s="1"/>
  <c r="K230" i="6" s="1"/>
  <c r="G231" i="6" l="1"/>
  <c r="E232" i="5"/>
  <c r="L230" i="6"/>
  <c r="H230" i="6"/>
  <c r="H231" i="5"/>
  <c r="J231" i="6" s="1"/>
  <c r="K231" i="6" s="1"/>
  <c r="E233" i="5" l="1"/>
  <c r="G232" i="6"/>
  <c r="L231" i="6"/>
  <c r="H231" i="6"/>
  <c r="H232" i="5"/>
  <c r="J232" i="6" s="1"/>
  <c r="K232" i="6" s="1"/>
  <c r="E234" i="5" l="1"/>
  <c r="G233" i="6"/>
  <c r="L232" i="6"/>
  <c r="H232" i="6"/>
  <c r="H233" i="5"/>
  <c r="J233" i="6" s="1"/>
  <c r="K233" i="6" s="1"/>
  <c r="E235" i="5" l="1"/>
  <c r="G234" i="6"/>
  <c r="L233" i="6"/>
  <c r="H233" i="6"/>
  <c r="H234" i="5"/>
  <c r="J234" i="6" s="1"/>
  <c r="K234" i="6" s="1"/>
  <c r="G235" i="6" l="1"/>
  <c r="E236" i="5"/>
  <c r="L234" i="6"/>
  <c r="H234" i="6"/>
  <c r="H235" i="5"/>
  <c r="J235" i="6" s="1"/>
  <c r="K235" i="6" s="1"/>
  <c r="E237" i="5" l="1"/>
  <c r="G236" i="6"/>
  <c r="L235" i="6"/>
  <c r="H235" i="6"/>
  <c r="H236" i="5"/>
  <c r="J236" i="6" s="1"/>
  <c r="K236" i="6" s="1"/>
  <c r="E238" i="5" l="1"/>
  <c r="G237" i="6"/>
  <c r="L236" i="6"/>
  <c r="H236" i="6"/>
  <c r="H237" i="5"/>
  <c r="J237" i="6" s="1"/>
  <c r="K237" i="6" s="1"/>
  <c r="E239" i="5" l="1"/>
  <c r="G238" i="6"/>
  <c r="L237" i="6"/>
  <c r="H237" i="6"/>
  <c r="H238" i="5"/>
  <c r="J238" i="6" s="1"/>
  <c r="K238" i="6" s="1"/>
  <c r="E240" i="5" l="1"/>
  <c r="G239" i="6"/>
  <c r="L238" i="6"/>
  <c r="H238" i="6"/>
  <c r="H239" i="5"/>
  <c r="J239" i="6" s="1"/>
  <c r="K239" i="6" s="1"/>
  <c r="G240" i="6" l="1"/>
  <c r="E241" i="5"/>
  <c r="L239" i="6"/>
  <c r="H239" i="6"/>
  <c r="H240" i="5"/>
  <c r="J240" i="6" s="1"/>
  <c r="K240" i="6" s="1"/>
  <c r="E242" i="5" l="1"/>
  <c r="G241" i="6"/>
  <c r="L240" i="6"/>
  <c r="H240" i="6"/>
  <c r="H241" i="5"/>
  <c r="J241" i="6" s="1"/>
  <c r="K241" i="6" s="1"/>
  <c r="E243" i="5" l="1"/>
  <c r="G242" i="6"/>
  <c r="L241" i="6"/>
  <c r="H241" i="6"/>
  <c r="H242" i="5"/>
  <c r="J242" i="6" s="1"/>
  <c r="K242" i="6" s="1"/>
  <c r="E244" i="5" l="1"/>
  <c r="G243" i="6"/>
  <c r="L242" i="6"/>
  <c r="H242" i="6"/>
  <c r="H243" i="5"/>
  <c r="J243" i="6" s="1"/>
  <c r="K243" i="6" s="1"/>
  <c r="E245" i="5" l="1"/>
  <c r="G244" i="6"/>
  <c r="L243" i="6"/>
  <c r="H243" i="6"/>
  <c r="H244" i="5"/>
  <c r="J244" i="6" s="1"/>
  <c r="K244" i="6" s="1"/>
  <c r="G245" i="6" l="1"/>
  <c r="E246" i="5"/>
  <c r="L244" i="6"/>
  <c r="H244" i="6"/>
  <c r="H245" i="5"/>
  <c r="J245" i="6" s="1"/>
  <c r="K245" i="6" s="1"/>
  <c r="E247" i="5" l="1"/>
  <c r="G246" i="6"/>
  <c r="L245" i="6"/>
  <c r="H245" i="6"/>
  <c r="H246" i="5"/>
  <c r="J246" i="6" s="1"/>
  <c r="K246" i="6" s="1"/>
  <c r="G247" i="6" l="1"/>
  <c r="E248" i="5"/>
  <c r="L246" i="6"/>
  <c r="H246" i="6"/>
  <c r="H247" i="5"/>
  <c r="J247" i="6" s="1"/>
  <c r="K247" i="6" s="1"/>
  <c r="E249" i="5" l="1"/>
  <c r="G248" i="6"/>
  <c r="L247" i="6"/>
  <c r="H247" i="6"/>
  <c r="H248" i="5"/>
  <c r="J248" i="6" s="1"/>
  <c r="K248" i="6" s="1"/>
  <c r="E250" i="5" l="1"/>
  <c r="G249" i="6"/>
  <c r="L248" i="6"/>
  <c r="H248" i="6"/>
  <c r="H249" i="5"/>
  <c r="J249" i="6" s="1"/>
  <c r="K249" i="6" s="1"/>
  <c r="G250" i="6" l="1"/>
  <c r="E251" i="5"/>
  <c r="L249" i="6"/>
  <c r="H249" i="6"/>
  <c r="H250" i="5"/>
  <c r="J250" i="6" s="1"/>
  <c r="K250" i="6" s="1"/>
  <c r="E252" i="5" l="1"/>
  <c r="G251" i="6"/>
  <c r="L250" i="6"/>
  <c r="H250" i="6"/>
  <c r="H251" i="5"/>
  <c r="J251" i="6" s="1"/>
  <c r="K251" i="6" s="1"/>
  <c r="G252" i="6" l="1"/>
  <c r="E253" i="5"/>
  <c r="L251" i="6"/>
  <c r="H251" i="6"/>
  <c r="H252" i="5"/>
  <c r="J252" i="6" s="1"/>
  <c r="K252" i="6" s="1"/>
  <c r="G253" i="6" l="1"/>
  <c r="E254" i="5"/>
  <c r="L252" i="6"/>
  <c r="H252" i="6"/>
  <c r="H253" i="5"/>
  <c r="J253" i="6" s="1"/>
  <c r="K253" i="6" s="1"/>
  <c r="E255" i="5" l="1"/>
  <c r="G255" i="6" s="1"/>
  <c r="G254" i="6"/>
  <c r="L253" i="6"/>
  <c r="H253" i="6"/>
  <c r="H254" i="5"/>
  <c r="J254" i="6" s="1"/>
  <c r="K254" i="6" s="1"/>
  <c r="L254" i="6" l="1"/>
  <c r="H254" i="6"/>
  <c r="H255" i="5"/>
  <c r="H255" i="6" l="1"/>
  <c r="J255" i="6"/>
  <c r="K255" i="6" s="1"/>
  <c r="L255" i="6" l="1"/>
  <c r="F20" i="7"/>
  <c r="N11" i="9" l="1"/>
  <c r="O11" i="9" s="1"/>
  <c r="N12" i="9"/>
  <c r="O12" i="9" s="1"/>
  <c r="N13" i="9"/>
  <c r="O13" i="9" s="1"/>
  <c r="N10" i="9"/>
  <c r="O10" i="9" s="1"/>
  <c r="D27" i="9"/>
  <c r="F27" i="9" s="1"/>
  <c r="H27" i="9" s="1"/>
  <c r="D25" i="9"/>
  <c r="F25" i="9" s="1"/>
  <c r="H25" i="9" s="1"/>
  <c r="D26" i="9"/>
  <c r="F26" i="9" s="1"/>
  <c r="H26" i="9" s="1"/>
  <c r="F21" i="7"/>
  <c r="N18" i="8" l="1"/>
  <c r="N19" i="8" s="1"/>
  <c r="R8" i="10"/>
</calcChain>
</file>

<file path=xl/sharedStrings.xml><?xml version="1.0" encoding="utf-8"?>
<sst xmlns="http://schemas.openxmlformats.org/spreadsheetml/2006/main" count="128" uniqueCount="88">
  <si>
    <t xml:space="preserve">Collateral and margining Simulation </t>
  </si>
  <si>
    <t xml:space="preserve">The objective of this project is to better understand the counterparty risk, variation margin initial margin and liquidity stress in OTC Derivatives </t>
  </si>
  <si>
    <t>Category</t>
  </si>
  <si>
    <t>Input</t>
  </si>
  <si>
    <t>Value</t>
  </si>
  <si>
    <t>Unit / Description</t>
  </si>
  <si>
    <t>Market</t>
  </si>
  <si>
    <t>Initial underlying price</t>
  </si>
  <si>
    <t>Starting price of the underlying asset</t>
  </si>
  <si>
    <t>Annual volatility</t>
  </si>
  <si>
    <t>Expected annual volatility of the underlying</t>
  </si>
  <si>
    <t>Annual drift</t>
  </si>
  <si>
    <t>Expected annual return, kept simple for now</t>
  </si>
  <si>
    <t>Trading days per year</t>
  </si>
  <si>
    <t>Standard number of trading days</t>
  </si>
  <si>
    <t>Simulation</t>
  </si>
  <si>
    <t>Number of simulation days</t>
  </si>
  <si>
    <t>One trading year</t>
  </si>
  <si>
    <t>Derivative</t>
  </si>
  <si>
    <t>Derivative type</t>
  </si>
  <si>
    <t>Long Forward</t>
  </si>
  <si>
    <t>Simplified OTC derivative position</t>
  </si>
  <si>
    <t>Notional</t>
  </si>
  <si>
    <t>Size of the derivative exposure</t>
  </si>
  <si>
    <t>Forward strike</t>
  </si>
  <si>
    <t>Contract price agreed at inception</t>
  </si>
  <si>
    <t>Margining</t>
  </si>
  <si>
    <t>Variation margin frequency</t>
  </si>
  <si>
    <t>Daily</t>
  </si>
  <si>
    <t>Margin exchanged every day</t>
  </si>
  <si>
    <t>Initial margin confidence level</t>
  </si>
  <si>
    <t>Confidence level used for IM</t>
  </si>
  <si>
    <t>Margin Period of Risk</t>
  </si>
  <si>
    <t>Days between default and close-out</t>
  </si>
  <si>
    <t>Initial margin method</t>
  </si>
  <si>
    <t>Parametric VaR</t>
  </si>
  <si>
    <t>Simple method for first version</t>
  </si>
  <si>
    <t>Default</t>
  </si>
  <si>
    <t>Default day</t>
  </si>
  <si>
    <t>Day on which counterparty defaults</t>
  </si>
  <si>
    <t>Stress</t>
  </si>
  <si>
    <t>Stress volatility multiplier</t>
  </si>
  <si>
    <t>2.0</t>
  </si>
  <si>
    <t>Used later to show liquidity stress</t>
  </si>
  <si>
    <t>Underlying Asset Simulation</t>
  </si>
  <si>
    <t>Day</t>
  </si>
  <si>
    <t>Random Shock</t>
  </si>
  <si>
    <t>Daily Return</t>
  </si>
  <si>
    <t>Underlying Price</t>
  </si>
  <si>
    <t>Mark-to-Market and Variation Margin</t>
  </si>
  <si>
    <t>Forward Strike</t>
  </si>
  <si>
    <t>Mark-to-Market</t>
  </si>
  <si>
    <t>Variation Margin</t>
  </si>
  <si>
    <t>Cumulative VM</t>
  </si>
  <si>
    <t>Initial Margin Calculation</t>
  </si>
  <si>
    <t>Description</t>
  </si>
  <si>
    <t>Confidence Level</t>
  </si>
  <si>
    <t>Confidence level used for the margin calculation</t>
  </si>
  <si>
    <t>Z-score</t>
  </si>
  <si>
    <t>Normal quantile corresponding to the confidence level</t>
  </si>
  <si>
    <t>MPoR</t>
  </si>
  <si>
    <t>Margin Period of Risk in days</t>
  </si>
  <si>
    <t>Daily MTM Volatility</t>
  </si>
  <si>
    <t>Standard deviation of daily MTM changes</t>
  </si>
  <si>
    <t>Initial Margin</t>
  </si>
  <si>
    <t>Estimated collateral buffer</t>
  </si>
  <si>
    <t>Confidence Level 99%</t>
  </si>
  <si>
    <t>MPoR 10</t>
  </si>
  <si>
    <t>Default Scenario Analysis</t>
  </si>
  <si>
    <t>Default Day</t>
  </si>
  <si>
    <t>Day on which the counterparty defaults</t>
  </si>
  <si>
    <t>Close-out Day</t>
  </si>
  <si>
    <t>Day on which the position is closed</t>
  </si>
  <si>
    <t>MTM at Default</t>
  </si>
  <si>
    <t>Mark-to-market value at default</t>
  </si>
  <si>
    <t>MTM at Close-out</t>
  </si>
  <si>
    <t>Mark-to-market value after the MPoR</t>
  </si>
  <si>
    <t>Loss during MPoR</t>
  </si>
  <si>
    <t>Additional exposure after default</t>
  </si>
  <si>
    <t>Collateral buffer calculated previously</t>
  </si>
  <si>
    <t>Uncovered Loss</t>
  </si>
  <si>
    <t>Loss not covered by initial margin</t>
  </si>
  <si>
    <t>MPoR Sensitivity</t>
  </si>
  <si>
    <t>Collateral and Margining Dashboard</t>
  </si>
  <si>
    <t>A visual summary of counterparty risk, variation margin, initial margin and default exposure in OTC derivatives</t>
  </si>
  <si>
    <t>Key Input</t>
  </si>
  <si>
    <t>Key Output</t>
  </si>
  <si>
    <t xml:space="preserve">Sensitivity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</si>
</sst>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7">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10"/>
      <color theme="1"/>
      <name val="Arial Unicode MS"/>
    </font>
    <font>
      <sz val="18"/>
      <color theme="0"/>
      <name val="Calibri / Aptos"/>
    </font>
    <font>
      <sz val="12"/>
      <color theme="0"/>
      <name val="Aptos Narrow"/>
      <family val="2"/>
      <scheme val="minor"/>
    </font>
  </fonts>
  <fills count="7">
    <fill>
      <patternFill patternType="none"/>
    </fill>
    <fill>
      <patternFill patternType="gray125"/>
    </fill>
    <fill>
      <patternFill patternType="solid">
        <fgColor rgb="FFF4F6F8"/>
        <bgColor indexed="64"/>
      </patternFill>
    </fill>
    <fill>
      <patternFill patternType="solid">
        <fgColor rgb="FFEEF3F7"/>
        <bgColor indexed="64"/>
      </patternFill>
    </fill>
    <fill>
      <patternFill patternType="solid">
        <fgColor rgb="FF0B2F4A"/>
        <bgColor indexed="64"/>
      </patternFill>
    </fill>
    <fill>
      <patternFill patternType="solid">
        <fgColor rgb="FF4B5563"/>
        <bgColor indexed="64"/>
      </patternFill>
    </fill>
    <fill>
      <patternFill patternType="solid">
        <fgColor theme="3" tint="0.89999084444715716"/>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3" tint="0.499984740745262"/>
      </left>
      <right/>
      <top style="medium">
        <color theme="3" tint="0.499984740745262"/>
      </top>
      <bottom/>
      <diagonal/>
    </border>
    <border>
      <left/>
      <right/>
      <top style="medium">
        <color theme="3" tint="0.499984740745262"/>
      </top>
      <bottom/>
      <diagonal/>
    </border>
    <border>
      <left/>
      <right style="medium">
        <color theme="3" tint="0.499984740745262"/>
      </right>
      <top style="medium">
        <color theme="3" tint="0.499984740745262"/>
      </top>
      <bottom/>
      <diagonal/>
    </border>
    <border>
      <left style="medium">
        <color theme="3" tint="0.499984740745262"/>
      </left>
      <right/>
      <top/>
      <bottom/>
      <diagonal/>
    </border>
    <border>
      <left/>
      <right style="medium">
        <color theme="3" tint="0.499984740745262"/>
      </right>
      <top/>
      <bottom/>
      <diagonal/>
    </border>
    <border>
      <left style="medium">
        <color theme="3" tint="0.499984740745262"/>
      </left>
      <right/>
      <top/>
      <bottom style="medium">
        <color theme="3" tint="0.499984740745262"/>
      </bottom>
      <diagonal/>
    </border>
    <border>
      <left/>
      <right/>
      <top/>
      <bottom style="medium">
        <color theme="3" tint="0.499984740745262"/>
      </bottom>
      <diagonal/>
    </border>
    <border>
      <left/>
      <right style="medium">
        <color theme="3" tint="0.499984740745262"/>
      </right>
      <top/>
      <bottom style="medium">
        <color theme="3" tint="0.499984740745262"/>
      </bottom>
      <diagonal/>
    </border>
  </borders>
  <cellStyleXfs count="2">
    <xf numFmtId="0" fontId="0" fillId="0" borderId="0"/>
    <xf numFmtId="44" fontId="1" fillId="0" borderId="0" applyFont="0" applyFill="0" applyBorder="0" applyAlignment="0" applyProtection="0"/>
  </cellStyleXfs>
  <cellXfs count="73">
    <xf numFmtId="0" fontId="0" fillId="0" borderId="0" xfId="0"/>
    <xf numFmtId="0" fontId="3" fillId="0" borderId="0" xfId="0" applyFont="1"/>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9" fontId="0" fillId="0" borderId="0" xfId="0" applyNumberFormat="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9" xfId="0" applyBorder="1"/>
    <xf numFmtId="0" fontId="0" fillId="0" borderId="7" xfId="0" applyBorder="1"/>
    <xf numFmtId="0" fontId="0" fillId="0" borderId="1" xfId="0" applyBorder="1"/>
    <xf numFmtId="0" fontId="0" fillId="0" borderId="0" xfId="0" applyAlignment="1">
      <alignment vertical="center"/>
    </xf>
    <xf numFmtId="0" fontId="0" fillId="0" borderId="0" xfId="0" applyAlignment="1">
      <alignment horizontal="center" vertical="center"/>
    </xf>
    <xf numFmtId="0" fontId="0" fillId="0" borderId="0" xfId="0" applyNumberFormat="1"/>
    <xf numFmtId="0" fontId="0" fillId="0" borderId="0" xfId="0" applyNumberFormat="1" applyAlignment="1">
      <alignment vertical="center" wrapText="1"/>
    </xf>
    <xf numFmtId="9" fontId="0" fillId="0" borderId="0" xfId="0" applyNumberFormat="1" applyAlignment="1">
      <alignment horizontal="center" vertical="center"/>
    </xf>
    <xf numFmtId="0" fontId="0" fillId="0" borderId="0" xfId="0" applyAlignment="1"/>
    <xf numFmtId="0" fontId="0" fillId="3" borderId="0" xfId="0" applyFill="1" applyAlignment="1">
      <alignment horizontal="center" vertical="center"/>
    </xf>
    <xf numFmtId="0" fontId="5" fillId="4" borderId="0" xfId="0" applyFont="1" applyFill="1" applyAlignment="1">
      <alignment horizontal="center" vertical="center"/>
    </xf>
    <xf numFmtId="0" fontId="6" fillId="5" borderId="0" xfId="0" applyFont="1" applyFill="1" applyAlignment="1">
      <alignment horizontal="center" vertical="center"/>
    </xf>
    <xf numFmtId="0" fontId="0" fillId="6" borderId="0" xfId="0" applyFill="1" applyAlignment="1">
      <alignment horizontal="center" vertical="center"/>
    </xf>
    <xf numFmtId="0" fontId="0" fillId="6" borderId="0" xfId="0" applyFill="1" applyAlignment="1">
      <alignment horizontal="center"/>
    </xf>
    <xf numFmtId="0" fontId="0" fillId="6" borderId="0" xfId="0" applyFill="1" applyBorder="1" applyAlignment="1">
      <alignment horizontal="center" vertical="center" wrapText="1"/>
    </xf>
    <xf numFmtId="44" fontId="0" fillId="6" borderId="0" xfId="1" applyFont="1" applyFill="1" applyBorder="1" applyAlignment="1">
      <alignment horizontal="center" vertical="center"/>
    </xf>
    <xf numFmtId="44" fontId="0" fillId="6" borderId="0" xfId="0" applyNumberFormat="1" applyFill="1" applyBorder="1" applyAlignment="1">
      <alignment horizontal="center" vertical="center"/>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0" fillId="6" borderId="13" xfId="0" applyFill="1" applyBorder="1" applyAlignment="1">
      <alignment horizontal="center" vertical="center" wrapText="1"/>
    </xf>
    <xf numFmtId="44" fontId="0" fillId="6" borderId="14" xfId="1" applyFont="1" applyFill="1" applyBorder="1" applyAlignment="1">
      <alignment horizontal="center" vertical="center"/>
    </xf>
    <xf numFmtId="44" fontId="0" fillId="6" borderId="14" xfId="0" applyNumberFormat="1" applyFill="1" applyBorder="1" applyAlignment="1">
      <alignment horizontal="center" vertical="center"/>
    </xf>
    <xf numFmtId="0" fontId="2" fillId="6" borderId="12" xfId="0" applyFont="1" applyFill="1" applyBorder="1" applyAlignment="1">
      <alignment horizontal="center" vertical="center" wrapText="1"/>
    </xf>
    <xf numFmtId="0" fontId="0" fillId="6" borderId="0" xfId="0" applyFill="1" applyBorder="1" applyAlignment="1">
      <alignment horizontal="center" vertical="center"/>
    </xf>
    <xf numFmtId="0" fontId="0" fillId="6" borderId="14" xfId="0" applyFill="1" applyBorder="1" applyAlignment="1">
      <alignment horizontal="center" vertical="center"/>
    </xf>
    <xf numFmtId="0" fontId="2" fillId="6" borderId="11" xfId="0" applyFont="1" applyFill="1" applyBorder="1" applyAlignment="1">
      <alignment vertical="center" wrapText="1"/>
    </xf>
    <xf numFmtId="0" fontId="2" fillId="6" borderId="12" xfId="0" applyFont="1" applyFill="1" applyBorder="1" applyAlignment="1">
      <alignment vertical="center" wrapText="1"/>
    </xf>
    <xf numFmtId="0" fontId="2" fillId="6" borderId="10" xfId="0" applyFont="1" applyFill="1" applyBorder="1" applyAlignment="1">
      <alignment vertical="center" wrapText="1"/>
    </xf>
    <xf numFmtId="0" fontId="0" fillId="6" borderId="13" xfId="0" applyFill="1" applyBorder="1" applyAlignment="1">
      <alignment vertical="center" wrapText="1"/>
    </xf>
    <xf numFmtId="0" fontId="0" fillId="6" borderId="0" xfId="0" applyFill="1" applyBorder="1" applyAlignment="1">
      <alignment vertical="center" wrapText="1"/>
    </xf>
    <xf numFmtId="0" fontId="0" fillId="6" borderId="0" xfId="0" applyFill="1" applyBorder="1" applyAlignment="1">
      <alignment vertical="center"/>
    </xf>
    <xf numFmtId="0" fontId="0" fillId="6" borderId="14" xfId="0" applyFill="1" applyBorder="1" applyAlignment="1">
      <alignment vertical="center"/>
    </xf>
    <xf numFmtId="9" fontId="0" fillId="6" borderId="0" xfId="0" applyNumberFormat="1" applyFill="1" applyBorder="1" applyAlignment="1">
      <alignment vertical="center"/>
    </xf>
    <xf numFmtId="9" fontId="0" fillId="6" borderId="14" xfId="0" applyNumberFormat="1" applyFill="1" applyBorder="1" applyAlignment="1">
      <alignment vertical="center"/>
    </xf>
    <xf numFmtId="0" fontId="0" fillId="6" borderId="15" xfId="0" applyFill="1" applyBorder="1" applyAlignment="1">
      <alignment vertical="center" wrapText="1"/>
    </xf>
    <xf numFmtId="0" fontId="0" fillId="6" borderId="16" xfId="0" applyFill="1" applyBorder="1" applyAlignment="1">
      <alignment vertical="center" wrapText="1"/>
    </xf>
    <xf numFmtId="0" fontId="0" fillId="6" borderId="16" xfId="0" applyFill="1" applyBorder="1" applyAlignment="1">
      <alignment vertical="center"/>
    </xf>
    <xf numFmtId="0" fontId="0" fillId="6" borderId="17" xfId="0" applyFill="1" applyBorder="1" applyAlignment="1">
      <alignment vertical="center"/>
    </xf>
    <xf numFmtId="44" fontId="0" fillId="6" borderId="16" xfId="0" applyNumberFormat="1" applyFill="1" applyBorder="1" applyAlignment="1">
      <alignment vertical="center"/>
    </xf>
    <xf numFmtId="44" fontId="0" fillId="6" borderId="17" xfId="0" applyNumberFormat="1" applyFill="1" applyBorder="1" applyAlignment="1">
      <alignment vertical="center"/>
    </xf>
    <xf numFmtId="0" fontId="0" fillId="2" borderId="0" xfId="0" applyFill="1"/>
    <xf numFmtId="0" fontId="0" fillId="0" borderId="2" xfId="0" applyBorder="1"/>
    <xf numFmtId="0" fontId="0" fillId="0" borderId="3" xfId="0" applyBorder="1"/>
    <xf numFmtId="0" fontId="0" fillId="0" borderId="8" xfId="0" applyBorder="1"/>
    <xf numFmtId="0" fontId="4" fillId="0" borderId="0" xfId="0" applyFont="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6" borderId="0" xfId="0" applyFill="1" applyAlignment="1">
      <alignment horizontal="center"/>
    </xf>
    <xf numFmtId="0" fontId="0" fillId="6" borderId="0" xfId="0" applyFill="1"/>
    <xf numFmtId="44" fontId="0" fillId="0" borderId="0" xfId="1" applyFont="1" applyAlignment="1">
      <alignment vertical="center"/>
    </xf>
    <xf numFmtId="44" fontId="4" fillId="0" borderId="0" xfId="1" applyFont="1" applyAlignment="1">
      <alignment vertical="center"/>
    </xf>
  </cellXfs>
  <cellStyles count="2">
    <cellStyle name="Currency" xfId="1" builtinId="4"/>
    <cellStyle name="Normal" xfId="0" builtinId="0"/>
  </cellStyles>
  <dxfs count="49">
    <dxf>
      <numFmt numFmtId="0" formatCode="General"/>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F4F6F8"/>
      <color rgb="FF2F6B8A"/>
      <color rgb="FF4B5563"/>
      <color rgb="FFE5E7EB"/>
      <color rgb="FF0B2F4A"/>
      <color rgb="FFEEF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baseline="0">
                <a:solidFill>
                  <a:srgbClr val="0B2F4A"/>
                </a:solidFill>
              </a:rPr>
              <a:t>Underlying Price Path</a:t>
            </a:r>
            <a:endParaRPr lang="es-ES" sz="1100" b="1">
              <a:solidFill>
                <a:srgbClr val="0B2F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Simulation!$H$2</c:f>
              <c:strCache>
                <c:ptCount val="1"/>
                <c:pt idx="0">
                  <c:v>Underlying Price</c:v>
                </c:pt>
              </c:strCache>
            </c:strRef>
          </c:tx>
          <c:spPr>
            <a:ln w="25400" cap="rnd">
              <a:solidFill>
                <a:srgbClr val="2F6B8A"/>
              </a:solidFill>
              <a:round/>
            </a:ln>
            <a:effectLst/>
          </c:spPr>
          <c:marker>
            <c:symbol val="none"/>
          </c:marker>
          <c:cat>
            <c:numRef>
              <c:f>Simulation!$E$3:$E$255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Simulation!$H$3:$H$255</c:f>
              <c:numCache>
                <c:formatCode>General</c:formatCode>
                <c:ptCount val="253"/>
                <c:pt idx="0">
                  <c:v>100</c:v>
                </c:pt>
                <c:pt idx="1">
                  <c:v>102.53677871712287</c:v>
                </c:pt>
                <c:pt idx="2">
                  <c:v>103.13303009374984</c:v>
                </c:pt>
                <c:pt idx="3">
                  <c:v>102.60081443159967</c:v>
                </c:pt>
                <c:pt idx="4">
                  <c:v>101.10521213922775</c:v>
                </c:pt>
                <c:pt idx="5">
                  <c:v>101.72441758113854</c:v>
                </c:pt>
                <c:pt idx="6">
                  <c:v>100.7736673120464</c:v>
                </c:pt>
                <c:pt idx="7">
                  <c:v>100.75558551069985</c:v>
                </c:pt>
                <c:pt idx="8">
                  <c:v>101.47838340560379</c:v>
                </c:pt>
                <c:pt idx="9">
                  <c:v>100.25564054117201</c:v>
                </c:pt>
                <c:pt idx="10">
                  <c:v>101.34524302656584</c:v>
                </c:pt>
                <c:pt idx="11">
                  <c:v>102.66866411970776</c:v>
                </c:pt>
                <c:pt idx="12">
                  <c:v>100.25207875373243</c:v>
                </c:pt>
                <c:pt idx="13">
                  <c:v>102.79157464134788</c:v>
                </c:pt>
                <c:pt idx="14">
                  <c:v>102.75496553062537</c:v>
                </c:pt>
                <c:pt idx="15">
                  <c:v>103.17224048978608</c:v>
                </c:pt>
                <c:pt idx="16">
                  <c:v>103.729583041014</c:v>
                </c:pt>
                <c:pt idx="17">
                  <c:v>101.81364405434114</c:v>
                </c:pt>
                <c:pt idx="18">
                  <c:v>105.21658604044309</c:v>
                </c:pt>
                <c:pt idx="19">
                  <c:v>104.48256816866106</c:v>
                </c:pt>
                <c:pt idx="20">
                  <c:v>104.31312421777349</c:v>
                </c:pt>
                <c:pt idx="21">
                  <c:v>102.86291106891179</c:v>
                </c:pt>
                <c:pt idx="22">
                  <c:v>103.51849077361059</c:v>
                </c:pt>
                <c:pt idx="23">
                  <c:v>104.9637605102922</c:v>
                </c:pt>
                <c:pt idx="24">
                  <c:v>103.82437021535247</c:v>
                </c:pt>
                <c:pt idx="25">
                  <c:v>106.53800055851717</c:v>
                </c:pt>
                <c:pt idx="26">
                  <c:v>106.88964664615987</c:v>
                </c:pt>
                <c:pt idx="27">
                  <c:v>108.3506949397384</c:v>
                </c:pt>
                <c:pt idx="28">
                  <c:v>108.3844551281933</c:v>
                </c:pt>
                <c:pt idx="29">
                  <c:v>108.7094817116115</c:v>
                </c:pt>
                <c:pt idx="30">
                  <c:v>107.27637558780165</c:v>
                </c:pt>
                <c:pt idx="31">
                  <c:v>108.93198090405187</c:v>
                </c:pt>
                <c:pt idx="32">
                  <c:v>110.88737399428754</c:v>
                </c:pt>
                <c:pt idx="33">
                  <c:v>109.15288329473786</c:v>
                </c:pt>
                <c:pt idx="34">
                  <c:v>111.62432987549147</c:v>
                </c:pt>
                <c:pt idx="35">
                  <c:v>113.11605876015372</c:v>
                </c:pt>
                <c:pt idx="36">
                  <c:v>112.85958727927569</c:v>
                </c:pt>
                <c:pt idx="37">
                  <c:v>114.81175204729453</c:v>
                </c:pt>
                <c:pt idx="38">
                  <c:v>114.23385090137324</c:v>
                </c:pt>
                <c:pt idx="39">
                  <c:v>117.54792073990296</c:v>
                </c:pt>
                <c:pt idx="40">
                  <c:v>117.50934173275283</c:v>
                </c:pt>
                <c:pt idx="41">
                  <c:v>118.7458781863274</c:v>
                </c:pt>
                <c:pt idx="42">
                  <c:v>116.50642698625967</c:v>
                </c:pt>
                <c:pt idx="43">
                  <c:v>114.86816436024574</c:v>
                </c:pt>
                <c:pt idx="44">
                  <c:v>115.13050136402326</c:v>
                </c:pt>
                <c:pt idx="45">
                  <c:v>114.22214811554493</c:v>
                </c:pt>
                <c:pt idx="46">
                  <c:v>113.62723388420393</c:v>
                </c:pt>
                <c:pt idx="47">
                  <c:v>113.21852133917716</c:v>
                </c:pt>
                <c:pt idx="48">
                  <c:v>113.66901355544664</c:v>
                </c:pt>
                <c:pt idx="49">
                  <c:v>116.26797941125935</c:v>
                </c:pt>
                <c:pt idx="50">
                  <c:v>117.49300807433568</c:v>
                </c:pt>
                <c:pt idx="51">
                  <c:v>117.40554173332507</c:v>
                </c:pt>
                <c:pt idx="52">
                  <c:v>114.14995085761549</c:v>
                </c:pt>
                <c:pt idx="53">
                  <c:v>115.4487046150506</c:v>
                </c:pt>
                <c:pt idx="54">
                  <c:v>115.99080237472208</c:v>
                </c:pt>
                <c:pt idx="55">
                  <c:v>118.43452408720384</c:v>
                </c:pt>
                <c:pt idx="56">
                  <c:v>117.48435124923151</c:v>
                </c:pt>
                <c:pt idx="57">
                  <c:v>117.12931032563993</c:v>
                </c:pt>
                <c:pt idx="58">
                  <c:v>115.06794936289674</c:v>
                </c:pt>
                <c:pt idx="59">
                  <c:v>114.77493018467887</c:v>
                </c:pt>
                <c:pt idx="60">
                  <c:v>114.25141355659819</c:v>
                </c:pt>
                <c:pt idx="61">
                  <c:v>114.36979781013456</c:v>
                </c:pt>
                <c:pt idx="62">
                  <c:v>115.47947472373076</c:v>
                </c:pt>
                <c:pt idx="63">
                  <c:v>113.98193083371739</c:v>
                </c:pt>
                <c:pt idx="64">
                  <c:v>114.6537761894447</c:v>
                </c:pt>
                <c:pt idx="65">
                  <c:v>116.30933634361952</c:v>
                </c:pt>
                <c:pt idx="66">
                  <c:v>118.13703783092191</c:v>
                </c:pt>
                <c:pt idx="67">
                  <c:v>117.12874213043877</c:v>
                </c:pt>
                <c:pt idx="68">
                  <c:v>117.624405871251</c:v>
                </c:pt>
                <c:pt idx="69">
                  <c:v>115.99587184719411</c:v>
                </c:pt>
                <c:pt idx="70">
                  <c:v>113.73039640164767</c:v>
                </c:pt>
                <c:pt idx="71">
                  <c:v>114.25473007075047</c:v>
                </c:pt>
                <c:pt idx="72">
                  <c:v>112.6169466698493</c:v>
                </c:pt>
                <c:pt idx="73">
                  <c:v>111.25386986436371</c:v>
                </c:pt>
                <c:pt idx="74">
                  <c:v>110.41594719199114</c:v>
                </c:pt>
                <c:pt idx="75">
                  <c:v>112.21920515003212</c:v>
                </c:pt>
                <c:pt idx="76">
                  <c:v>113.39897183103102</c:v>
                </c:pt>
                <c:pt idx="77">
                  <c:v>116.78471693772261</c:v>
                </c:pt>
                <c:pt idx="78">
                  <c:v>117.46888860923566</c:v>
                </c:pt>
                <c:pt idx="79">
                  <c:v>116.18902328166453</c:v>
                </c:pt>
                <c:pt idx="80">
                  <c:v>119.14680022158522</c:v>
                </c:pt>
                <c:pt idx="81">
                  <c:v>119.82581273514212</c:v>
                </c:pt>
                <c:pt idx="82">
                  <c:v>118.77062594682369</c:v>
                </c:pt>
                <c:pt idx="83">
                  <c:v>119.96856143976024</c:v>
                </c:pt>
                <c:pt idx="84">
                  <c:v>124.8244433892888</c:v>
                </c:pt>
                <c:pt idx="85">
                  <c:v>125.36781481793318</c:v>
                </c:pt>
                <c:pt idx="86">
                  <c:v>125.46262316718942</c:v>
                </c:pt>
                <c:pt idx="87">
                  <c:v>124.29396819330788</c:v>
                </c:pt>
                <c:pt idx="88">
                  <c:v>122.22676949682666</c:v>
                </c:pt>
                <c:pt idx="89">
                  <c:v>122.72553901128988</c:v>
                </c:pt>
                <c:pt idx="90">
                  <c:v>123.55454408360056</c:v>
                </c:pt>
                <c:pt idx="91">
                  <c:v>125.1641973983272</c:v>
                </c:pt>
                <c:pt idx="92">
                  <c:v>120.95708314590895</c:v>
                </c:pt>
                <c:pt idx="93">
                  <c:v>119.8697074769546</c:v>
                </c:pt>
                <c:pt idx="94">
                  <c:v>121.76568835726202</c:v>
                </c:pt>
                <c:pt idx="95">
                  <c:v>123.92673241874857</c:v>
                </c:pt>
                <c:pt idx="96">
                  <c:v>125.11882156896029</c:v>
                </c:pt>
                <c:pt idx="97">
                  <c:v>124.09890795484741</c:v>
                </c:pt>
                <c:pt idx="98">
                  <c:v>122.59165777880061</c:v>
                </c:pt>
                <c:pt idx="99">
                  <c:v>124.46083916399915</c:v>
                </c:pt>
                <c:pt idx="100">
                  <c:v>123.52507801194149</c:v>
                </c:pt>
                <c:pt idx="101">
                  <c:v>123.90138455958815</c:v>
                </c:pt>
                <c:pt idx="102">
                  <c:v>123.67927196975839</c:v>
                </c:pt>
                <c:pt idx="103">
                  <c:v>123.79426008134222</c:v>
                </c:pt>
                <c:pt idx="104">
                  <c:v>123.38924931727421</c:v>
                </c:pt>
                <c:pt idx="105">
                  <c:v>121.90651734519911</c:v>
                </c:pt>
                <c:pt idx="106">
                  <c:v>121.30323892960726</c:v>
                </c:pt>
                <c:pt idx="107">
                  <c:v>122.85138650863455</c:v>
                </c:pt>
                <c:pt idx="108">
                  <c:v>119.78514760445771</c:v>
                </c:pt>
                <c:pt idx="109">
                  <c:v>117.89658901101855</c:v>
                </c:pt>
                <c:pt idx="110">
                  <c:v>120.20146002406442</c:v>
                </c:pt>
                <c:pt idx="111">
                  <c:v>119.69695076450436</c:v>
                </c:pt>
                <c:pt idx="112">
                  <c:v>121.14236123334756</c:v>
                </c:pt>
                <c:pt idx="113">
                  <c:v>118.91392239369328</c:v>
                </c:pt>
                <c:pt idx="114">
                  <c:v>117.83158701793977</c:v>
                </c:pt>
                <c:pt idx="115">
                  <c:v>119.86005462936141</c:v>
                </c:pt>
                <c:pt idx="116">
                  <c:v>119.32616414770224</c:v>
                </c:pt>
                <c:pt idx="117">
                  <c:v>118.8628520807526</c:v>
                </c:pt>
                <c:pt idx="118">
                  <c:v>120.67915947978537</c:v>
                </c:pt>
                <c:pt idx="119">
                  <c:v>121.93818504923193</c:v>
                </c:pt>
                <c:pt idx="120">
                  <c:v>121.40922300385687</c:v>
                </c:pt>
                <c:pt idx="121">
                  <c:v>123.54835533072662</c:v>
                </c:pt>
                <c:pt idx="122">
                  <c:v>124.08733045415495</c:v>
                </c:pt>
                <c:pt idx="123">
                  <c:v>122.99313063150188</c:v>
                </c:pt>
                <c:pt idx="124">
                  <c:v>124.9627071972691</c:v>
                </c:pt>
                <c:pt idx="125">
                  <c:v>121.8851575816813</c:v>
                </c:pt>
                <c:pt idx="126">
                  <c:v>122.14056748066032</c:v>
                </c:pt>
                <c:pt idx="127">
                  <c:v>124.14718981352812</c:v>
                </c:pt>
                <c:pt idx="128">
                  <c:v>126.68873307547884</c:v>
                </c:pt>
                <c:pt idx="129">
                  <c:v>124.35145413072831</c:v>
                </c:pt>
                <c:pt idx="130">
                  <c:v>121.99146571054494</c:v>
                </c:pt>
                <c:pt idx="131">
                  <c:v>121.97624553587318</c:v>
                </c:pt>
                <c:pt idx="132">
                  <c:v>121.50217192274114</c:v>
                </c:pt>
                <c:pt idx="133">
                  <c:v>123.59743636550958</c:v>
                </c:pt>
                <c:pt idx="134">
                  <c:v>124.93867398950512</c:v>
                </c:pt>
                <c:pt idx="135">
                  <c:v>124.94929187750314</c:v>
                </c:pt>
                <c:pt idx="136">
                  <c:v>123.75799266627642</c:v>
                </c:pt>
                <c:pt idx="137">
                  <c:v>121.58276168611084</c:v>
                </c:pt>
                <c:pt idx="138">
                  <c:v>120.41246702247976</c:v>
                </c:pt>
                <c:pt idx="139">
                  <c:v>120.64320666862106</c:v>
                </c:pt>
                <c:pt idx="140">
                  <c:v>119.54873961766214</c:v>
                </c:pt>
                <c:pt idx="141">
                  <c:v>118.28109780924271</c:v>
                </c:pt>
                <c:pt idx="142">
                  <c:v>118.22056622909092</c:v>
                </c:pt>
                <c:pt idx="143">
                  <c:v>117.27514958794536</c:v>
                </c:pt>
                <c:pt idx="144">
                  <c:v>113.32692957936895</c:v>
                </c:pt>
                <c:pt idx="145">
                  <c:v>113.06707273930184</c:v>
                </c:pt>
                <c:pt idx="146">
                  <c:v>114.48032100164791</c:v>
                </c:pt>
                <c:pt idx="147">
                  <c:v>111.90450898175075</c:v>
                </c:pt>
                <c:pt idx="148">
                  <c:v>111.23914584654702</c:v>
                </c:pt>
                <c:pt idx="149">
                  <c:v>107.90635713229838</c:v>
                </c:pt>
                <c:pt idx="150">
                  <c:v>108.36969195531081</c:v>
                </c:pt>
                <c:pt idx="151">
                  <c:v>108.09578229727744</c:v>
                </c:pt>
                <c:pt idx="152">
                  <c:v>109.58252049379752</c:v>
                </c:pt>
                <c:pt idx="153">
                  <c:v>109.8585294909189</c:v>
                </c:pt>
                <c:pt idx="154">
                  <c:v>109.90721366430759</c:v>
                </c:pt>
                <c:pt idx="155">
                  <c:v>109.61327129044749</c:v>
                </c:pt>
                <c:pt idx="156">
                  <c:v>108.15623626775931</c:v>
                </c:pt>
                <c:pt idx="157">
                  <c:v>108.89243685058516</c:v>
                </c:pt>
                <c:pt idx="158">
                  <c:v>106.26558434582486</c:v>
                </c:pt>
                <c:pt idx="159">
                  <c:v>104.3162327938176</c:v>
                </c:pt>
                <c:pt idx="160">
                  <c:v>105.07144180240918</c:v>
                </c:pt>
                <c:pt idx="161">
                  <c:v>105.95939200233241</c:v>
                </c:pt>
                <c:pt idx="162">
                  <c:v>104.18197432038049</c:v>
                </c:pt>
                <c:pt idx="163">
                  <c:v>102.93301214684359</c:v>
                </c:pt>
                <c:pt idx="164">
                  <c:v>102.58764331812779</c:v>
                </c:pt>
                <c:pt idx="165">
                  <c:v>101.93563432821691</c:v>
                </c:pt>
                <c:pt idx="166">
                  <c:v>103.2738710210336</c:v>
                </c:pt>
                <c:pt idx="167">
                  <c:v>103.03925450318494</c:v>
                </c:pt>
                <c:pt idx="168">
                  <c:v>103.92970023903715</c:v>
                </c:pt>
                <c:pt idx="169">
                  <c:v>102.23187028071445</c:v>
                </c:pt>
                <c:pt idx="170">
                  <c:v>102.39192752250857</c:v>
                </c:pt>
                <c:pt idx="171">
                  <c:v>103.26188313716212</c:v>
                </c:pt>
                <c:pt idx="172">
                  <c:v>103.56009124930286</c:v>
                </c:pt>
                <c:pt idx="173">
                  <c:v>103.44318849196546</c:v>
                </c:pt>
                <c:pt idx="174">
                  <c:v>104.3908407298935</c:v>
                </c:pt>
                <c:pt idx="175">
                  <c:v>106.442059032885</c:v>
                </c:pt>
                <c:pt idx="176">
                  <c:v>104.4428435477691</c:v>
                </c:pt>
                <c:pt idx="177">
                  <c:v>105.94552584644646</c:v>
                </c:pt>
                <c:pt idx="178">
                  <c:v>105.32600711645438</c:v>
                </c:pt>
                <c:pt idx="179">
                  <c:v>106.34468524206304</c:v>
                </c:pt>
                <c:pt idx="180">
                  <c:v>106.16135794675959</c:v>
                </c:pt>
                <c:pt idx="181">
                  <c:v>104.30863012607631</c:v>
                </c:pt>
                <c:pt idx="182">
                  <c:v>105.67292424073753</c:v>
                </c:pt>
                <c:pt idx="183">
                  <c:v>105.65837858435572</c:v>
                </c:pt>
                <c:pt idx="184">
                  <c:v>106.4576281507679</c:v>
                </c:pt>
                <c:pt idx="185">
                  <c:v>107.46041912823465</c:v>
                </c:pt>
                <c:pt idx="186">
                  <c:v>107.04177510846058</c:v>
                </c:pt>
                <c:pt idx="187">
                  <c:v>105.32306241948741</c:v>
                </c:pt>
                <c:pt idx="188">
                  <c:v>106.0646080609442</c:v>
                </c:pt>
                <c:pt idx="189">
                  <c:v>103.60364543006536</c:v>
                </c:pt>
                <c:pt idx="190">
                  <c:v>103.21203662019767</c:v>
                </c:pt>
                <c:pt idx="191">
                  <c:v>104.33852557864169</c:v>
                </c:pt>
                <c:pt idx="192">
                  <c:v>103.72978129978979</c:v>
                </c:pt>
                <c:pt idx="193">
                  <c:v>104.34078156792393</c:v>
                </c:pt>
                <c:pt idx="194">
                  <c:v>105.29496261535169</c:v>
                </c:pt>
                <c:pt idx="195">
                  <c:v>106.67830986963409</c:v>
                </c:pt>
                <c:pt idx="196">
                  <c:v>108.32657653676479</c:v>
                </c:pt>
                <c:pt idx="197">
                  <c:v>107.47095838095444</c:v>
                </c:pt>
                <c:pt idx="198">
                  <c:v>108.37422220317383</c:v>
                </c:pt>
                <c:pt idx="199">
                  <c:v>110.17652566131889</c:v>
                </c:pt>
                <c:pt idx="200">
                  <c:v>110.53389689884399</c:v>
                </c:pt>
                <c:pt idx="201">
                  <c:v>112.70798140130178</c:v>
                </c:pt>
                <c:pt idx="202">
                  <c:v>112.24665694508759</c:v>
                </c:pt>
                <c:pt idx="203">
                  <c:v>111.02129958041684</c:v>
                </c:pt>
                <c:pt idx="204">
                  <c:v>109.20671207973339</c:v>
                </c:pt>
                <c:pt idx="205">
                  <c:v>109.67283312069766</c:v>
                </c:pt>
                <c:pt idx="206">
                  <c:v>113.16256570563485</c:v>
                </c:pt>
                <c:pt idx="207">
                  <c:v>113.09156460671551</c:v>
                </c:pt>
                <c:pt idx="208">
                  <c:v>112.87179883229915</c:v>
                </c:pt>
                <c:pt idx="209">
                  <c:v>114.84968066441584</c:v>
                </c:pt>
                <c:pt idx="210">
                  <c:v>115.79505607470227</c:v>
                </c:pt>
                <c:pt idx="211">
                  <c:v>118.08271795721149</c:v>
                </c:pt>
                <c:pt idx="212">
                  <c:v>117.88262801820801</c:v>
                </c:pt>
                <c:pt idx="213">
                  <c:v>117.99528056804122</c:v>
                </c:pt>
                <c:pt idx="214">
                  <c:v>119.56447616746482</c:v>
                </c:pt>
                <c:pt idx="215">
                  <c:v>120.53320356951384</c:v>
                </c:pt>
                <c:pt idx="216">
                  <c:v>120.77789184409383</c:v>
                </c:pt>
                <c:pt idx="217">
                  <c:v>122.30857573338001</c:v>
                </c:pt>
                <c:pt idx="218">
                  <c:v>123.46905040238525</c:v>
                </c:pt>
                <c:pt idx="219">
                  <c:v>125.28441528502114</c:v>
                </c:pt>
                <c:pt idx="220">
                  <c:v>123.52213856627564</c:v>
                </c:pt>
                <c:pt idx="221">
                  <c:v>121.15911880133334</c:v>
                </c:pt>
                <c:pt idx="222">
                  <c:v>120.36228900585027</c:v>
                </c:pt>
                <c:pt idx="223">
                  <c:v>120.4580546593572</c:v>
                </c:pt>
                <c:pt idx="224">
                  <c:v>120.66612058845246</c:v>
                </c:pt>
                <c:pt idx="225">
                  <c:v>123.0780852718643</c:v>
                </c:pt>
                <c:pt idx="226">
                  <c:v>125.91871819705091</c:v>
                </c:pt>
                <c:pt idx="227">
                  <c:v>128.18877104155953</c:v>
                </c:pt>
                <c:pt idx="228">
                  <c:v>128.94153644041941</c:v>
                </c:pt>
                <c:pt idx="229">
                  <c:v>128.88062501210402</c:v>
                </c:pt>
                <c:pt idx="230">
                  <c:v>128.90185753589989</c:v>
                </c:pt>
                <c:pt idx="231">
                  <c:v>130.15139990496837</c:v>
                </c:pt>
                <c:pt idx="232">
                  <c:v>126.57200445380874</c:v>
                </c:pt>
                <c:pt idx="233">
                  <c:v>128.48382165039317</c:v>
                </c:pt>
                <c:pt idx="234">
                  <c:v>127.22472001594201</c:v>
                </c:pt>
                <c:pt idx="235">
                  <c:v>124.68801545219898</c:v>
                </c:pt>
                <c:pt idx="236">
                  <c:v>124.33150524184697</c:v>
                </c:pt>
                <c:pt idx="237">
                  <c:v>121.80903107929669</c:v>
                </c:pt>
                <c:pt idx="238">
                  <c:v>121.34729487766747</c:v>
                </c:pt>
                <c:pt idx="239">
                  <c:v>118.28806170802561</c:v>
                </c:pt>
                <c:pt idx="240">
                  <c:v>119.03679373496337</c:v>
                </c:pt>
                <c:pt idx="241">
                  <c:v>120.19267458223069</c:v>
                </c:pt>
                <c:pt idx="242">
                  <c:v>118.57523980145359</c:v>
                </c:pt>
                <c:pt idx="243">
                  <c:v>120.00800324503197</c:v>
                </c:pt>
                <c:pt idx="244">
                  <c:v>120.68295404943248</c:v>
                </c:pt>
                <c:pt idx="245">
                  <c:v>122.10640397126787</c:v>
                </c:pt>
                <c:pt idx="246">
                  <c:v>123.43214051685999</c:v>
                </c:pt>
                <c:pt idx="247">
                  <c:v>124.18315955728373</c:v>
                </c:pt>
                <c:pt idx="248">
                  <c:v>125.83987684128174</c:v>
                </c:pt>
                <c:pt idx="249">
                  <c:v>124.94320802017511</c:v>
                </c:pt>
                <c:pt idx="250">
                  <c:v>123.33379052735063</c:v>
                </c:pt>
                <c:pt idx="251">
                  <c:v>126.05278708480057</c:v>
                </c:pt>
                <c:pt idx="252">
                  <c:v>125.93694473933691</c:v>
                </c:pt>
              </c:numCache>
            </c:numRef>
          </c:val>
          <c:smooth val="0"/>
          <c:extLst>
            <c:ext xmlns:c16="http://schemas.microsoft.com/office/drawing/2014/chart" uri="{C3380CC4-5D6E-409C-BE32-E72D297353CC}">
              <c16:uniqueId val="{00000000-3B0B-46C7-9C7A-DD1ABBF9DC04}"/>
            </c:ext>
          </c:extLst>
        </c:ser>
        <c:dLbls>
          <c:showLegendKey val="0"/>
          <c:showVal val="0"/>
          <c:showCatName val="0"/>
          <c:showSerName val="0"/>
          <c:showPercent val="0"/>
          <c:showBubbleSize val="0"/>
        </c:dLbls>
        <c:smooth val="0"/>
        <c:axId val="1780233488"/>
        <c:axId val="1192303856"/>
      </c:lineChart>
      <c:catAx>
        <c:axId val="17802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2303856"/>
        <c:crosses val="autoZero"/>
        <c:auto val="1"/>
        <c:lblAlgn val="ctr"/>
        <c:lblOffset val="100"/>
        <c:tickLblSkip val="50"/>
        <c:noMultiLvlLbl val="0"/>
      </c:catAx>
      <c:valAx>
        <c:axId val="1192303856"/>
        <c:scaling>
          <c:orientation val="minMax"/>
        </c:scaling>
        <c:delete val="0"/>
        <c:axPos val="l"/>
        <c:majorGridlines>
          <c:spPr>
            <a:ln w="6350" cap="flat" cmpd="sng" algn="ctr">
              <a:gradFill>
                <a:gsLst>
                  <a:gs pos="0">
                    <a:srgbClr val="E5E7E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0233488"/>
        <c:crosses val="autoZero"/>
        <c:crossBetween val="between"/>
      </c:valAx>
      <c:spPr>
        <a:no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Forward Mark-to-Market Over Time</a:t>
            </a:r>
            <a:endParaRPr lang="es-ES"/>
          </a:p>
        </c:rich>
      </c:tx>
      <c:layout>
        <c:manualLayout>
          <c:xMode val="edge"/>
          <c:yMode val="edge"/>
          <c:x val="0.273139500903175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'MTM and VM'!$J$2</c:f>
              <c:strCache>
                <c:ptCount val="1"/>
                <c:pt idx="0">
                  <c:v>Mark-to-Market</c:v>
                </c:pt>
              </c:strCache>
            </c:strRef>
          </c:tx>
          <c:spPr>
            <a:ln w="28575" cap="rnd">
              <a:solidFill>
                <a:schemeClr val="accent1"/>
              </a:solidFill>
              <a:round/>
            </a:ln>
            <a:effectLst/>
          </c:spPr>
          <c:marker>
            <c:symbol val="none"/>
          </c:marker>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VM'!$J$3:$J$255</c:f>
              <c:numCache>
                <c:formatCode>General</c:formatCode>
                <c:ptCount val="253"/>
                <c:pt idx="0">
                  <c:v>0</c:v>
                </c:pt>
                <c:pt idx="1">
                  <c:v>25367.787171228716</c:v>
                </c:pt>
                <c:pt idx="2">
                  <c:v>31330.300937498378</c:v>
                </c:pt>
                <c:pt idx="3">
                  <c:v>26008.144315996728</c:v>
                </c:pt>
                <c:pt idx="4">
                  <c:v>11052.121392277457</c:v>
                </c:pt>
                <c:pt idx="5">
                  <c:v>17244.17581138539</c:v>
                </c:pt>
                <c:pt idx="6">
                  <c:v>7736.6731204639909</c:v>
                </c:pt>
                <c:pt idx="7">
                  <c:v>7555.8551069984505</c:v>
                </c:pt>
                <c:pt idx="8">
                  <c:v>14783.834056037933</c:v>
                </c:pt>
                <c:pt idx="9">
                  <c:v>2556.4054117201354</c:v>
                </c:pt>
                <c:pt idx="10">
                  <c:v>13452.430265658393</c:v>
                </c:pt>
                <c:pt idx="11">
                  <c:v>26686.641197077563</c:v>
                </c:pt>
                <c:pt idx="12">
                  <c:v>2520.7875373243382</c:v>
                </c:pt>
                <c:pt idx="13">
                  <c:v>27915.746413478784</c:v>
                </c:pt>
                <c:pt idx="14">
                  <c:v>27549.655306253699</c:v>
                </c:pt>
                <c:pt idx="15">
                  <c:v>31722.404897860768</c:v>
                </c:pt>
                <c:pt idx="16">
                  <c:v>37295.830410139955</c:v>
                </c:pt>
                <c:pt idx="17">
                  <c:v>18136.440543411394</c:v>
                </c:pt>
                <c:pt idx="18">
                  <c:v>52165.860404430903</c:v>
                </c:pt>
                <c:pt idx="19">
                  <c:v>44825.681686610609</c:v>
                </c:pt>
                <c:pt idx="20">
                  <c:v>43131.242177734915</c:v>
                </c:pt>
                <c:pt idx="21">
                  <c:v>28629.110689117853</c:v>
                </c:pt>
                <c:pt idx="22">
                  <c:v>35184.907736105939</c:v>
                </c:pt>
                <c:pt idx="23">
                  <c:v>49637.60510292204</c:v>
                </c:pt>
                <c:pt idx="24">
                  <c:v>38243.70215352474</c:v>
                </c:pt>
                <c:pt idx="25">
                  <c:v>65380.005585171697</c:v>
                </c:pt>
                <c:pt idx="26">
                  <c:v>68896.466461598742</c:v>
                </c:pt>
                <c:pt idx="27">
                  <c:v>83506.949397384044</c:v>
                </c:pt>
                <c:pt idx="28">
                  <c:v>83844.55128193296</c:v>
                </c:pt>
                <c:pt idx="29">
                  <c:v>87094.817116115024</c:v>
                </c:pt>
                <c:pt idx="30">
                  <c:v>72763.755878016527</c:v>
                </c:pt>
                <c:pt idx="31">
                  <c:v>89319.809040518681</c:v>
                </c:pt>
                <c:pt idx="32">
                  <c:v>108873.73994287543</c:v>
                </c:pt>
                <c:pt idx="33">
                  <c:v>91528.832947378629</c:v>
                </c:pt>
                <c:pt idx="34">
                  <c:v>116243.29875491469</c:v>
                </c:pt>
                <c:pt idx="35">
                  <c:v>131160.58760153721</c:v>
                </c:pt>
                <c:pt idx="36">
                  <c:v>128595.87279275685</c:v>
                </c:pt>
                <c:pt idx="37">
                  <c:v>148117.52047294533</c:v>
                </c:pt>
                <c:pt idx="38">
                  <c:v>142338.50901373246</c:v>
                </c:pt>
                <c:pt idx="39">
                  <c:v>175479.20739902963</c:v>
                </c:pt>
                <c:pt idx="40">
                  <c:v>175093.41732752832</c:v>
                </c:pt>
                <c:pt idx="41">
                  <c:v>187458.78186327402</c:v>
                </c:pt>
                <c:pt idx="42">
                  <c:v>165064.2698625967</c:v>
                </c:pt>
                <c:pt idx="43">
                  <c:v>148681.64360245742</c:v>
                </c:pt>
                <c:pt idx="44">
                  <c:v>151305.01364023262</c:v>
                </c:pt>
                <c:pt idx="45">
                  <c:v>142221.48115544923</c:v>
                </c:pt>
                <c:pt idx="46">
                  <c:v>136272.33884203932</c:v>
                </c:pt>
                <c:pt idx="47">
                  <c:v>132185.21339177157</c:v>
                </c:pt>
                <c:pt idx="48">
                  <c:v>136690.1355544664</c:v>
                </c:pt>
                <c:pt idx="49">
                  <c:v>162679.79411259349</c:v>
                </c:pt>
                <c:pt idx="50">
                  <c:v>174930.08074335678</c:v>
                </c:pt>
                <c:pt idx="51">
                  <c:v>174055.41733325066</c:v>
                </c:pt>
                <c:pt idx="52">
                  <c:v>141499.50857615491</c:v>
                </c:pt>
                <c:pt idx="53">
                  <c:v>154487.04615050601</c:v>
                </c:pt>
                <c:pt idx="54">
                  <c:v>159908.02374722081</c:v>
                </c:pt>
                <c:pt idx="55">
                  <c:v>184345.24087203841</c:v>
                </c:pt>
                <c:pt idx="56">
                  <c:v>174843.51249231509</c:v>
                </c:pt>
                <c:pt idx="57">
                  <c:v>171293.10325639934</c:v>
                </c:pt>
                <c:pt idx="58">
                  <c:v>150679.49362896741</c:v>
                </c:pt>
                <c:pt idx="59">
                  <c:v>147749.30184678867</c:v>
                </c:pt>
                <c:pt idx="60">
                  <c:v>142514.13556598194</c:v>
                </c:pt>
                <c:pt idx="61">
                  <c:v>143697.97810134556</c:v>
                </c:pt>
                <c:pt idx="62">
                  <c:v>154794.7472373076</c:v>
                </c:pt>
                <c:pt idx="63">
                  <c:v>139819.30833717386</c:v>
                </c:pt>
                <c:pt idx="64">
                  <c:v>146537.76189444697</c:v>
                </c:pt>
                <c:pt idx="65">
                  <c:v>163093.36343619521</c:v>
                </c:pt>
                <c:pt idx="66">
                  <c:v>181370.37830921912</c:v>
                </c:pt>
                <c:pt idx="67">
                  <c:v>171287.42130438768</c:v>
                </c:pt>
                <c:pt idx="68">
                  <c:v>176244.05871251001</c:v>
                </c:pt>
                <c:pt idx="69">
                  <c:v>159958.7184719411</c:v>
                </c:pt>
                <c:pt idx="70">
                  <c:v>137303.96401647668</c:v>
                </c:pt>
                <c:pt idx="71">
                  <c:v>142547.30070750468</c:v>
                </c:pt>
                <c:pt idx="72">
                  <c:v>126169.46669849299</c:v>
                </c:pt>
                <c:pt idx="73">
                  <c:v>112538.69864363708</c:v>
                </c:pt>
                <c:pt idx="74">
                  <c:v>104159.47191991138</c:v>
                </c:pt>
                <c:pt idx="75">
                  <c:v>122192.05150032123</c:v>
                </c:pt>
                <c:pt idx="76">
                  <c:v>133989.71831031021</c:v>
                </c:pt>
                <c:pt idx="77">
                  <c:v>167847.16937722606</c:v>
                </c:pt>
                <c:pt idx="78">
                  <c:v>174688.88609235664</c:v>
                </c:pt>
                <c:pt idx="79">
                  <c:v>161890.23281664532</c:v>
                </c:pt>
                <c:pt idx="80">
                  <c:v>191468.00221585226</c:v>
                </c:pt>
                <c:pt idx="81">
                  <c:v>198258.12735142122</c:v>
                </c:pt>
                <c:pt idx="82">
                  <c:v>187706.25946823685</c:v>
                </c:pt>
                <c:pt idx="83">
                  <c:v>199685.61439760236</c:v>
                </c:pt>
                <c:pt idx="84">
                  <c:v>248244.43389288802</c:v>
                </c:pt>
                <c:pt idx="85">
                  <c:v>253678.14817933182</c:v>
                </c:pt>
                <c:pt idx="86">
                  <c:v>254626.2316718942</c:v>
                </c:pt>
                <c:pt idx="87">
                  <c:v>242939.68193307877</c:v>
                </c:pt>
                <c:pt idx="88">
                  <c:v>222267.69496826662</c:v>
                </c:pt>
                <c:pt idx="89">
                  <c:v>227255.39011289884</c:v>
                </c:pt>
                <c:pt idx="90">
                  <c:v>235545.44083600561</c:v>
                </c:pt>
                <c:pt idx="91">
                  <c:v>251641.97398327204</c:v>
                </c:pt>
                <c:pt idx="92">
                  <c:v>209570.83145908953</c:v>
                </c:pt>
                <c:pt idx="93">
                  <c:v>198697.07476954602</c:v>
                </c:pt>
                <c:pt idx="94">
                  <c:v>217656.88357262022</c:v>
                </c:pt>
                <c:pt idx="95">
                  <c:v>239267.32418748573</c:v>
                </c:pt>
                <c:pt idx="96">
                  <c:v>251188.21568960286</c:v>
                </c:pt>
                <c:pt idx="97">
                  <c:v>240989.07954847405</c:v>
                </c:pt>
                <c:pt idx="98">
                  <c:v>225916.57778800608</c:v>
                </c:pt>
                <c:pt idx="99">
                  <c:v>244608.39163999155</c:v>
                </c:pt>
                <c:pt idx="100">
                  <c:v>235250.78011941488</c:v>
                </c:pt>
                <c:pt idx="101">
                  <c:v>239013.84559588152</c:v>
                </c:pt>
                <c:pt idx="102">
                  <c:v>236792.7196975839</c:v>
                </c:pt>
                <c:pt idx="103">
                  <c:v>237942.60081342218</c:v>
                </c:pt>
                <c:pt idx="104">
                  <c:v>233892.49317274208</c:v>
                </c:pt>
                <c:pt idx="105">
                  <c:v>219065.17345199105</c:v>
                </c:pt>
                <c:pt idx="106">
                  <c:v>213032.38929607259</c:v>
                </c:pt>
                <c:pt idx="107">
                  <c:v>228513.86508634547</c:v>
                </c:pt>
                <c:pt idx="108">
                  <c:v>197851.47604457705</c:v>
                </c:pt>
                <c:pt idx="109">
                  <c:v>178965.89011018549</c:v>
                </c:pt>
                <c:pt idx="110">
                  <c:v>202014.60024064415</c:v>
                </c:pt>
                <c:pt idx="111">
                  <c:v>196969.50764504363</c:v>
                </c:pt>
                <c:pt idx="112">
                  <c:v>211423.61233347555</c:v>
                </c:pt>
                <c:pt idx="113">
                  <c:v>189139.22393693283</c:v>
                </c:pt>
                <c:pt idx="114">
                  <c:v>178315.87017939767</c:v>
                </c:pt>
                <c:pt idx="115">
                  <c:v>198600.54629361414</c:v>
                </c:pt>
                <c:pt idx="116">
                  <c:v>193261.64147702244</c:v>
                </c:pt>
                <c:pt idx="117">
                  <c:v>188628.52080752605</c:v>
                </c:pt>
                <c:pt idx="118">
                  <c:v>206791.5947978537</c:v>
                </c:pt>
                <c:pt idx="119">
                  <c:v>219381.85049231935</c:v>
                </c:pt>
                <c:pt idx="120">
                  <c:v>214092.23003856867</c:v>
                </c:pt>
                <c:pt idx="121">
                  <c:v>235483.55330726624</c:v>
                </c:pt>
                <c:pt idx="122">
                  <c:v>240873.3045415495</c:v>
                </c:pt>
                <c:pt idx="123">
                  <c:v>229931.30631501885</c:v>
                </c:pt>
                <c:pt idx="124">
                  <c:v>249627.07197269096</c:v>
                </c:pt>
                <c:pt idx="125">
                  <c:v>218851.57581681298</c:v>
                </c:pt>
                <c:pt idx="126">
                  <c:v>221405.67480660323</c:v>
                </c:pt>
                <c:pt idx="127">
                  <c:v>241471.89813528114</c:v>
                </c:pt>
                <c:pt idx="128">
                  <c:v>266887.33075478836</c:v>
                </c:pt>
                <c:pt idx="129">
                  <c:v>243514.54130728316</c:v>
                </c:pt>
                <c:pt idx="130">
                  <c:v>219914.65710544944</c:v>
                </c:pt>
                <c:pt idx="131">
                  <c:v>219762.45535873176</c:v>
                </c:pt>
                <c:pt idx="132">
                  <c:v>215021.71922741143</c:v>
                </c:pt>
                <c:pt idx="133">
                  <c:v>235974.3636550958</c:v>
                </c:pt>
                <c:pt idx="134">
                  <c:v>249386.7398950512</c:v>
                </c:pt>
                <c:pt idx="135">
                  <c:v>249492.91877503143</c:v>
                </c:pt>
                <c:pt idx="136">
                  <c:v>237579.92666276422</c:v>
                </c:pt>
                <c:pt idx="137">
                  <c:v>215827.61686110843</c:v>
                </c:pt>
                <c:pt idx="138">
                  <c:v>204124.67022479759</c:v>
                </c:pt>
                <c:pt idx="139">
                  <c:v>206432.0666862106</c:v>
                </c:pt>
                <c:pt idx="140">
                  <c:v>195487.39617662138</c:v>
                </c:pt>
                <c:pt idx="141">
                  <c:v>182810.97809242707</c:v>
                </c:pt>
                <c:pt idx="142">
                  <c:v>182205.66229090921</c:v>
                </c:pt>
                <c:pt idx="143">
                  <c:v>172751.49587945367</c:v>
                </c:pt>
                <c:pt idx="144">
                  <c:v>133269.29579368953</c:v>
                </c:pt>
                <c:pt idx="145">
                  <c:v>130670.72739301836</c:v>
                </c:pt>
                <c:pt idx="146">
                  <c:v>144803.21001647908</c:v>
                </c:pt>
                <c:pt idx="147">
                  <c:v>119045.08981750751</c:v>
                </c:pt>
                <c:pt idx="148">
                  <c:v>112391.45846547018</c:v>
                </c:pt>
                <c:pt idx="149">
                  <c:v>79063.571322983815</c:v>
                </c:pt>
                <c:pt idx="150">
                  <c:v>83696.919553108135</c:v>
                </c:pt>
                <c:pt idx="151">
                  <c:v>80957.822972774375</c:v>
                </c:pt>
                <c:pt idx="152">
                  <c:v>95825.20493797517</c:v>
                </c:pt>
                <c:pt idx="153">
                  <c:v>98585.294909188975</c:v>
                </c:pt>
                <c:pt idx="154">
                  <c:v>99072.136643075908</c:v>
                </c:pt>
                <c:pt idx="155">
                  <c:v>96132.712904474858</c:v>
                </c:pt>
                <c:pt idx="156">
                  <c:v>81562.362677593119</c:v>
                </c:pt>
                <c:pt idx="157">
                  <c:v>88924.368505851555</c:v>
                </c:pt>
                <c:pt idx="158">
                  <c:v>62655.843458248622</c:v>
                </c:pt>
                <c:pt idx="159">
                  <c:v>43162.327938176051</c:v>
                </c:pt>
                <c:pt idx="160">
                  <c:v>50714.418024091829</c:v>
                </c:pt>
                <c:pt idx="161">
                  <c:v>59593.92002332407</c:v>
                </c:pt>
                <c:pt idx="162">
                  <c:v>41819.743203804901</c:v>
                </c:pt>
                <c:pt idx="163">
                  <c:v>29330.121468435947</c:v>
                </c:pt>
                <c:pt idx="164">
                  <c:v>25876.433181277891</c:v>
                </c:pt>
                <c:pt idx="165">
                  <c:v>19356.343282169066</c:v>
                </c:pt>
                <c:pt idx="166">
                  <c:v>32738.710210335998</c:v>
                </c:pt>
                <c:pt idx="167">
                  <c:v>30392.545031849353</c:v>
                </c:pt>
                <c:pt idx="168">
                  <c:v>39297.002390371461</c:v>
                </c:pt>
                <c:pt idx="169">
                  <c:v>22318.702807144462</c:v>
                </c:pt>
                <c:pt idx="170">
                  <c:v>23919.275225085668</c:v>
                </c:pt>
                <c:pt idx="171">
                  <c:v>32618.83137162116</c:v>
                </c:pt>
                <c:pt idx="172">
                  <c:v>35600.912493028576</c:v>
                </c:pt>
                <c:pt idx="173">
                  <c:v>34431.884919654578</c:v>
                </c:pt>
                <c:pt idx="174">
                  <c:v>43908.407298934981</c:v>
                </c:pt>
                <c:pt idx="175">
                  <c:v>64420.59032884999</c:v>
                </c:pt>
                <c:pt idx="176">
                  <c:v>44428.435477691011</c:v>
                </c:pt>
                <c:pt idx="177">
                  <c:v>59455.258464464576</c:v>
                </c:pt>
                <c:pt idx="178">
                  <c:v>53260.071164543777</c:v>
                </c:pt>
                <c:pt idx="179">
                  <c:v>63446.852420630363</c:v>
                </c:pt>
                <c:pt idx="180">
                  <c:v>61613.579467595941</c:v>
                </c:pt>
                <c:pt idx="181">
                  <c:v>43086.301260763095</c:v>
                </c:pt>
                <c:pt idx="182">
                  <c:v>56729.242407375292</c:v>
                </c:pt>
                <c:pt idx="183">
                  <c:v>56583.785843557169</c:v>
                </c:pt>
                <c:pt idx="184">
                  <c:v>64576.281507679021</c:v>
                </c:pt>
                <c:pt idx="185">
                  <c:v>74604.191282346481</c:v>
                </c:pt>
                <c:pt idx="186">
                  <c:v>70417.751084605843</c:v>
                </c:pt>
                <c:pt idx="187">
                  <c:v>53230.624194874144</c:v>
                </c:pt>
                <c:pt idx="188">
                  <c:v>60646.080609441953</c:v>
                </c:pt>
                <c:pt idx="189">
                  <c:v>36036.45430065356</c:v>
                </c:pt>
                <c:pt idx="190">
                  <c:v>32120.366201976649</c:v>
                </c:pt>
                <c:pt idx="191">
                  <c:v>43385.255786416936</c:v>
                </c:pt>
                <c:pt idx="192">
                  <c:v>37297.812997897927</c:v>
                </c:pt>
                <c:pt idx="193">
                  <c:v>43407.815679239262</c:v>
                </c:pt>
                <c:pt idx="194">
                  <c:v>52949.626153516925</c:v>
                </c:pt>
                <c:pt idx="195">
                  <c:v>66783.098696340909</c:v>
                </c:pt>
                <c:pt idx="196">
                  <c:v>83265.765367647909</c:v>
                </c:pt>
                <c:pt idx="197">
                  <c:v>74709.583809544434</c:v>
                </c:pt>
                <c:pt idx="198">
                  <c:v>83742.222031738303</c:v>
                </c:pt>
                <c:pt idx="199">
                  <c:v>101765.25661318892</c:v>
                </c:pt>
                <c:pt idx="200">
                  <c:v>105338.96898843991</c:v>
                </c:pt>
                <c:pt idx="201">
                  <c:v>127079.81401301779</c:v>
                </c:pt>
                <c:pt idx="202">
                  <c:v>122466.56945087593</c:v>
                </c:pt>
                <c:pt idx="203">
                  <c:v>110212.99580416839</c:v>
                </c:pt>
                <c:pt idx="204">
                  <c:v>92067.120797333919</c:v>
                </c:pt>
                <c:pt idx="205">
                  <c:v>96728.331206976596</c:v>
                </c:pt>
                <c:pt idx="206">
                  <c:v>131625.65705634846</c:v>
                </c:pt>
                <c:pt idx="207">
                  <c:v>130915.64606715509</c:v>
                </c:pt>
                <c:pt idx="208">
                  <c:v>128717.9883229915</c:v>
                </c:pt>
                <c:pt idx="209">
                  <c:v>148496.80664415844</c:v>
                </c:pt>
                <c:pt idx="210">
                  <c:v>157950.56074702274</c:v>
                </c:pt>
                <c:pt idx="211">
                  <c:v>180827.17957211487</c:v>
                </c:pt>
                <c:pt idx="212">
                  <c:v>178826.28018208011</c:v>
                </c:pt>
                <c:pt idx="213">
                  <c:v>179952.80568041225</c:v>
                </c:pt>
                <c:pt idx="214">
                  <c:v>195644.76167464818</c:v>
                </c:pt>
                <c:pt idx="215">
                  <c:v>205332.03569513845</c:v>
                </c:pt>
                <c:pt idx="216">
                  <c:v>207778.91844093829</c:v>
                </c:pt>
                <c:pt idx="217">
                  <c:v>223085.75733380008</c:v>
                </c:pt>
                <c:pt idx="218">
                  <c:v>234690.5040238525</c:v>
                </c:pt>
                <c:pt idx="219">
                  <c:v>252844.15285021139</c:v>
                </c:pt>
                <c:pt idx="220">
                  <c:v>235221.38566275642</c:v>
                </c:pt>
                <c:pt idx="221">
                  <c:v>211591.18801333336</c:v>
                </c:pt>
                <c:pt idx="222">
                  <c:v>203622.89005850273</c:v>
                </c:pt>
                <c:pt idx="223">
                  <c:v>204580.54659357201</c:v>
                </c:pt>
                <c:pt idx="224">
                  <c:v>206661.20588452459</c:v>
                </c:pt>
                <c:pt idx="225">
                  <c:v>230780.85271864297</c:v>
                </c:pt>
                <c:pt idx="226">
                  <c:v>259187.18197050906</c:v>
                </c:pt>
                <c:pt idx="227">
                  <c:v>281887.71041559533</c:v>
                </c:pt>
                <c:pt idx="228">
                  <c:v>289415.36440419412</c:v>
                </c:pt>
                <c:pt idx="229">
                  <c:v>288806.25012104021</c:v>
                </c:pt>
                <c:pt idx="230">
                  <c:v>289018.57535899896</c:v>
                </c:pt>
                <c:pt idx="231">
                  <c:v>301513.99904968374</c:v>
                </c:pt>
                <c:pt idx="232">
                  <c:v>265720.04453808744</c:v>
                </c:pt>
                <c:pt idx="233">
                  <c:v>284838.21650393168</c:v>
                </c:pt>
                <c:pt idx="234">
                  <c:v>272247.20015942008</c:v>
                </c:pt>
                <c:pt idx="235">
                  <c:v>246880.15452198984</c:v>
                </c:pt>
                <c:pt idx="236">
                  <c:v>243315.05241846968</c:v>
                </c:pt>
                <c:pt idx="237">
                  <c:v>218090.31079296686</c:v>
                </c:pt>
                <c:pt idx="238">
                  <c:v>213472.94877667466</c:v>
                </c:pt>
                <c:pt idx="239">
                  <c:v>182880.61708025608</c:v>
                </c:pt>
                <c:pt idx="240">
                  <c:v>190367.93734963366</c:v>
                </c:pt>
                <c:pt idx="241">
                  <c:v>201926.74582230693</c:v>
                </c:pt>
                <c:pt idx="242">
                  <c:v>185752.39801453592</c:v>
                </c:pt>
                <c:pt idx="243">
                  <c:v>200080.0324503197</c:v>
                </c:pt>
                <c:pt idx="244">
                  <c:v>206829.54049432481</c:v>
                </c:pt>
                <c:pt idx="245">
                  <c:v>221064.03971267867</c:v>
                </c:pt>
                <c:pt idx="246">
                  <c:v>234321.40516859989</c:v>
                </c:pt>
                <c:pt idx="247">
                  <c:v>241831.59557283728</c:v>
                </c:pt>
                <c:pt idx="248">
                  <c:v>258398.76841281733</c:v>
                </c:pt>
                <c:pt idx="249">
                  <c:v>249432.08020175106</c:v>
                </c:pt>
                <c:pt idx="250">
                  <c:v>233337.90527350627</c:v>
                </c:pt>
                <c:pt idx="251">
                  <c:v>260527.87084800572</c:v>
                </c:pt>
                <c:pt idx="252">
                  <c:v>259369.4473933691</c:v>
                </c:pt>
              </c:numCache>
            </c:numRef>
          </c:val>
          <c:smooth val="0"/>
          <c:extLst>
            <c:ext xmlns:c16="http://schemas.microsoft.com/office/drawing/2014/chart" uri="{C3380CC4-5D6E-409C-BE32-E72D297353CC}">
              <c16:uniqueId val="{00000000-0D6F-4A1B-8C76-CC644B8B41C5}"/>
            </c:ext>
          </c:extLst>
        </c:ser>
        <c:dLbls>
          <c:showLegendKey val="0"/>
          <c:showVal val="0"/>
          <c:showCatName val="0"/>
          <c:showSerName val="0"/>
          <c:showPercent val="0"/>
          <c:showBubbleSize val="0"/>
        </c:dLbls>
        <c:smooth val="0"/>
        <c:axId val="1159354032"/>
        <c:axId val="1159349232"/>
      </c:lineChart>
      <c:catAx>
        <c:axId val="115935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59349232"/>
        <c:crosses val="autoZero"/>
        <c:auto val="1"/>
        <c:lblAlgn val="ctr"/>
        <c:lblOffset val="100"/>
        <c:noMultiLvlLbl val="0"/>
      </c:catAx>
      <c:valAx>
        <c:axId val="115934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5935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Daily Variation Margin Calls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'MTM and VM'!$K$2</c:f>
              <c:strCache>
                <c:ptCount val="1"/>
                <c:pt idx="0">
                  <c:v>Variation Margin</c:v>
                </c:pt>
              </c:strCache>
            </c:strRef>
          </c:tx>
          <c:spPr>
            <a:ln w="28575" cap="rnd">
              <a:solidFill>
                <a:schemeClr val="accent1"/>
              </a:solidFill>
              <a:round/>
            </a:ln>
            <a:effectLst/>
          </c:spPr>
          <c:marker>
            <c:symbol val="none"/>
          </c:marker>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VM'!$K$3:$K$255</c:f>
              <c:numCache>
                <c:formatCode>General</c:formatCode>
                <c:ptCount val="253"/>
                <c:pt idx="0">
                  <c:v>0</c:v>
                </c:pt>
                <c:pt idx="1">
                  <c:v>25367.787171228716</c:v>
                </c:pt>
                <c:pt idx="2">
                  <c:v>5962.5137662696616</c:v>
                </c:pt>
                <c:pt idx="3">
                  <c:v>-5322.1566215016501</c:v>
                </c:pt>
                <c:pt idx="4">
                  <c:v>-14956.022923719271</c:v>
                </c:pt>
                <c:pt idx="5">
                  <c:v>6192.0544191079334</c:v>
                </c:pt>
                <c:pt idx="6">
                  <c:v>-9507.5026909213993</c:v>
                </c:pt>
                <c:pt idx="7">
                  <c:v>-180.81801346554039</c:v>
                </c:pt>
                <c:pt idx="8">
                  <c:v>7227.9789490394824</c:v>
                </c:pt>
                <c:pt idx="9">
                  <c:v>-12227.428644317797</c:v>
                </c:pt>
                <c:pt idx="10">
                  <c:v>10896.024853938257</c:v>
                </c:pt>
                <c:pt idx="11">
                  <c:v>13234.210931419169</c:v>
                </c:pt>
                <c:pt idx="12">
                  <c:v>-24165.853659753226</c:v>
                </c:pt>
                <c:pt idx="13">
                  <c:v>25394.958876154447</c:v>
                </c:pt>
                <c:pt idx="14">
                  <c:v>-366.09110722508558</c:v>
                </c:pt>
                <c:pt idx="15">
                  <c:v>4172.7495916070693</c:v>
                </c:pt>
                <c:pt idx="16">
                  <c:v>5573.4255122791874</c:v>
                </c:pt>
                <c:pt idx="17">
                  <c:v>-19159.389866728561</c:v>
                </c:pt>
                <c:pt idx="18">
                  <c:v>34029.419861019509</c:v>
                </c:pt>
                <c:pt idx="19">
                  <c:v>-7340.178717820294</c:v>
                </c:pt>
                <c:pt idx="20">
                  <c:v>-1694.4395088756937</c:v>
                </c:pt>
                <c:pt idx="21">
                  <c:v>-14502.131488617062</c:v>
                </c:pt>
                <c:pt idx="22">
                  <c:v>6555.7970469880856</c:v>
                </c:pt>
                <c:pt idx="23">
                  <c:v>14452.697366816101</c:v>
                </c:pt>
                <c:pt idx="24">
                  <c:v>-11393.902949397299</c:v>
                </c:pt>
                <c:pt idx="25">
                  <c:v>27136.303431646957</c:v>
                </c:pt>
                <c:pt idx="26">
                  <c:v>3516.4608764270452</c:v>
                </c:pt>
                <c:pt idx="27">
                  <c:v>14610.482935785301</c:v>
                </c:pt>
                <c:pt idx="28">
                  <c:v>337.60188454891613</c:v>
                </c:pt>
                <c:pt idx="29">
                  <c:v>3250.2658341820643</c:v>
                </c:pt>
                <c:pt idx="30">
                  <c:v>-14331.061238098497</c:v>
                </c:pt>
                <c:pt idx="31">
                  <c:v>16556.053162502154</c:v>
                </c:pt>
                <c:pt idx="32">
                  <c:v>19553.930902356748</c:v>
                </c:pt>
                <c:pt idx="33">
                  <c:v>-17344.9069954968</c:v>
                </c:pt>
                <c:pt idx="34">
                  <c:v>24714.465807536064</c:v>
                </c:pt>
                <c:pt idx="35">
                  <c:v>14917.288846622512</c:v>
                </c:pt>
                <c:pt idx="36">
                  <c:v>-2564.7148087803507</c:v>
                </c:pt>
                <c:pt idx="37">
                  <c:v>19521.647680188471</c:v>
                </c:pt>
                <c:pt idx="38">
                  <c:v>-5779.0114592128666</c:v>
                </c:pt>
                <c:pt idx="39">
                  <c:v>33140.698385297175</c:v>
                </c:pt>
                <c:pt idx="40">
                  <c:v>-385.79007150130928</c:v>
                </c:pt>
                <c:pt idx="41">
                  <c:v>12365.364535745699</c:v>
                </c:pt>
                <c:pt idx="42">
                  <c:v>-22394.512000677321</c:v>
                </c:pt>
                <c:pt idx="43">
                  <c:v>-16382.626260139281</c:v>
                </c:pt>
                <c:pt idx="44">
                  <c:v>2623.3700377751957</c:v>
                </c:pt>
                <c:pt idx="45">
                  <c:v>-9083.5324847833836</c:v>
                </c:pt>
                <c:pt idx="46">
                  <c:v>-5949.1423134099168</c:v>
                </c:pt>
                <c:pt idx="47">
                  <c:v>-4087.1254502677475</c:v>
                </c:pt>
                <c:pt idx="48">
                  <c:v>4504.9221626948274</c:v>
                </c:pt>
                <c:pt idx="49">
                  <c:v>25989.658558127092</c:v>
                </c:pt>
                <c:pt idx="50">
                  <c:v>12250.286630763294</c:v>
                </c:pt>
                <c:pt idx="51">
                  <c:v>-874.66341010612086</c:v>
                </c:pt>
                <c:pt idx="52">
                  <c:v>-32555.908757095749</c:v>
                </c:pt>
                <c:pt idx="53">
                  <c:v>12987.537574351096</c:v>
                </c:pt>
                <c:pt idx="54">
                  <c:v>5420.9775967148016</c:v>
                </c:pt>
                <c:pt idx="55">
                  <c:v>24437.217124817602</c:v>
                </c:pt>
                <c:pt idx="56">
                  <c:v>-9501.7283797233249</c:v>
                </c:pt>
                <c:pt idx="57">
                  <c:v>-3550.4092359157512</c:v>
                </c:pt>
                <c:pt idx="58">
                  <c:v>-20613.609627431928</c:v>
                </c:pt>
                <c:pt idx="59">
                  <c:v>-2930.1917821787356</c:v>
                </c:pt>
                <c:pt idx="60">
                  <c:v>-5235.166280806734</c:v>
                </c:pt>
                <c:pt idx="61">
                  <c:v>1183.8425353636267</c:v>
                </c:pt>
                <c:pt idx="62">
                  <c:v>11096.769135962037</c:v>
                </c:pt>
                <c:pt idx="63">
                  <c:v>-14975.43890013374</c:v>
                </c:pt>
                <c:pt idx="64">
                  <c:v>6718.4535572731111</c:v>
                </c:pt>
                <c:pt idx="65">
                  <c:v>16555.601541748241</c:v>
                </c:pt>
                <c:pt idx="66">
                  <c:v>18277.014873023902</c:v>
                </c:pt>
                <c:pt idx="67">
                  <c:v>-10082.957004831434</c:v>
                </c:pt>
                <c:pt idx="68">
                  <c:v>4956.637408122333</c:v>
                </c:pt>
                <c:pt idx="69">
                  <c:v>-16285.340240568912</c:v>
                </c:pt>
                <c:pt idx="70">
                  <c:v>-22654.754455464426</c:v>
                </c:pt>
                <c:pt idx="71">
                  <c:v>5243.336691028002</c:v>
                </c:pt>
                <c:pt idx="72">
                  <c:v>-16377.834009011684</c:v>
                </c:pt>
                <c:pt idx="73">
                  <c:v>-13630.768054855915</c:v>
                </c:pt>
                <c:pt idx="74">
                  <c:v>-8379.2267237257038</c:v>
                </c:pt>
                <c:pt idx="75">
                  <c:v>18032.57958040986</c:v>
                </c:pt>
                <c:pt idx="76">
                  <c:v>11797.666809988979</c:v>
                </c:pt>
                <c:pt idx="77">
                  <c:v>33857.451066915848</c:v>
                </c:pt>
                <c:pt idx="78">
                  <c:v>6841.7167151305766</c:v>
                </c:pt>
                <c:pt idx="79">
                  <c:v>-12798.653275711316</c:v>
                </c:pt>
                <c:pt idx="80">
                  <c:v>29577.76939920694</c:v>
                </c:pt>
                <c:pt idx="81">
                  <c:v>6790.1251355689601</c:v>
                </c:pt>
                <c:pt idx="82">
                  <c:v>-10551.867883184372</c:v>
                </c:pt>
                <c:pt idx="83">
                  <c:v>11979.354929365509</c:v>
                </c:pt>
                <c:pt idx="84">
                  <c:v>48558.819495285657</c:v>
                </c:pt>
                <c:pt idx="85">
                  <c:v>5433.7142864438065</c:v>
                </c:pt>
                <c:pt idx="86">
                  <c:v>948.08349256237852</c:v>
                </c:pt>
                <c:pt idx="87">
                  <c:v>-11686.549738815433</c:v>
                </c:pt>
                <c:pt idx="88">
                  <c:v>-20671.986964812153</c:v>
                </c:pt>
                <c:pt idx="89">
                  <c:v>4987.69514463222</c:v>
                </c:pt>
                <c:pt idx="90">
                  <c:v>8290.050723106775</c:v>
                </c:pt>
                <c:pt idx="91">
                  <c:v>16096.533147266426</c:v>
                </c:pt>
                <c:pt idx="92">
                  <c:v>-42071.142524182505</c:v>
                </c:pt>
                <c:pt idx="93">
                  <c:v>-10873.756689543516</c:v>
                </c:pt>
                <c:pt idx="94">
                  <c:v>18959.808803074207</c:v>
                </c:pt>
                <c:pt idx="95">
                  <c:v>21610.440614865511</c:v>
                </c:pt>
                <c:pt idx="96">
                  <c:v>11920.891502117127</c:v>
                </c:pt>
                <c:pt idx="97">
                  <c:v>-10199.136141128809</c:v>
                </c:pt>
                <c:pt idx="98">
                  <c:v>-15072.501760467974</c:v>
                </c:pt>
                <c:pt idx="99">
                  <c:v>18691.813851985469</c:v>
                </c:pt>
                <c:pt idx="100">
                  <c:v>-9357.6115205766691</c:v>
                </c:pt>
                <c:pt idx="101">
                  <c:v>3763.0654764666397</c:v>
                </c:pt>
                <c:pt idx="102">
                  <c:v>-2221.1258982976142</c:v>
                </c:pt>
                <c:pt idx="103">
                  <c:v>1149.8811158382741</c:v>
                </c:pt>
                <c:pt idx="104">
                  <c:v>-4050.1076406801003</c:v>
                </c:pt>
                <c:pt idx="105">
                  <c:v>-14827.319720751024</c:v>
                </c:pt>
                <c:pt idx="106">
                  <c:v>-6032.7841559184599</c:v>
                </c:pt>
                <c:pt idx="107">
                  <c:v>15481.475790272874</c:v>
                </c:pt>
                <c:pt idx="108">
                  <c:v>-30662.389041768416</c:v>
                </c:pt>
                <c:pt idx="109">
                  <c:v>-18885.585934391565</c:v>
                </c:pt>
                <c:pt idx="110">
                  <c:v>23048.710130458669</c:v>
                </c:pt>
                <c:pt idx="111">
                  <c:v>-5045.0925956005231</c:v>
                </c:pt>
                <c:pt idx="112">
                  <c:v>14454.104688431922</c:v>
                </c:pt>
                <c:pt idx="113">
                  <c:v>-22284.388396542723</c:v>
                </c:pt>
                <c:pt idx="114">
                  <c:v>-10823.353757535166</c:v>
                </c:pt>
                <c:pt idx="115">
                  <c:v>20284.676114216476</c:v>
                </c:pt>
                <c:pt idx="116">
                  <c:v>-5338.9048165917047</c:v>
                </c:pt>
                <c:pt idx="117">
                  <c:v>-4633.1206694963912</c:v>
                </c:pt>
                <c:pt idx="118">
                  <c:v>18163.073990327655</c:v>
                </c:pt>
                <c:pt idx="119">
                  <c:v>12590.255694465654</c:v>
                </c:pt>
                <c:pt idx="120">
                  <c:v>-5289.6204537506856</c:v>
                </c:pt>
                <c:pt idx="121">
                  <c:v>21391.323268697568</c:v>
                </c:pt>
                <c:pt idx="122">
                  <c:v>5389.7512342832633</c:v>
                </c:pt>
                <c:pt idx="123">
                  <c:v>-10941.998226530646</c:v>
                </c:pt>
                <c:pt idx="124">
                  <c:v>19695.765657672106</c:v>
                </c:pt>
                <c:pt idx="125">
                  <c:v>-30775.496155877976</c:v>
                </c:pt>
                <c:pt idx="126">
                  <c:v>2554.0989897902473</c:v>
                </c:pt>
                <c:pt idx="127">
                  <c:v>20066.223328677908</c:v>
                </c:pt>
                <c:pt idx="128">
                  <c:v>25415.432619507221</c:v>
                </c:pt>
                <c:pt idx="129">
                  <c:v>-23372.789447505202</c:v>
                </c:pt>
                <c:pt idx="130">
                  <c:v>-23599.884201833716</c:v>
                </c:pt>
                <c:pt idx="131">
                  <c:v>-152.20174671767745</c:v>
                </c:pt>
                <c:pt idx="132">
                  <c:v>-4740.7361313203292</c:v>
                </c:pt>
                <c:pt idx="133">
                  <c:v>20952.644427684369</c:v>
                </c:pt>
                <c:pt idx="134">
                  <c:v>13412.376239955396</c:v>
                </c:pt>
                <c:pt idx="135">
                  <c:v>106.1788799802307</c:v>
                </c:pt>
                <c:pt idx="136">
                  <c:v>-11912.992112267209</c:v>
                </c:pt>
                <c:pt idx="137">
                  <c:v>-21752.309801655792</c:v>
                </c:pt>
                <c:pt idx="138">
                  <c:v>-11702.946636310837</c:v>
                </c:pt>
                <c:pt idx="139">
                  <c:v>2307.3964614130091</c:v>
                </c:pt>
                <c:pt idx="140">
                  <c:v>-10944.670509589225</c:v>
                </c:pt>
                <c:pt idx="141">
                  <c:v>-12676.418084194302</c:v>
                </c:pt>
                <c:pt idx="142">
                  <c:v>-605.31580151786329</c:v>
                </c:pt>
                <c:pt idx="143">
                  <c:v>-9454.166411455546</c:v>
                </c:pt>
                <c:pt idx="144">
                  <c:v>-39482.20008576414</c:v>
                </c:pt>
                <c:pt idx="145">
                  <c:v>-2598.5684006711672</c:v>
                </c:pt>
                <c:pt idx="146">
                  <c:v>14132.482623460717</c:v>
                </c:pt>
                <c:pt idx="147">
                  <c:v>-25758.120198971563</c:v>
                </c:pt>
                <c:pt idx="148">
                  <c:v>-6653.6313520373369</c:v>
                </c:pt>
                <c:pt idx="149">
                  <c:v>-33327.887142486361</c:v>
                </c:pt>
                <c:pt idx="150">
                  <c:v>4633.3482301243203</c:v>
                </c:pt>
                <c:pt idx="151">
                  <c:v>-2739.0965803337604</c:v>
                </c:pt>
                <c:pt idx="152">
                  <c:v>14867.381965200795</c:v>
                </c:pt>
                <c:pt idx="153">
                  <c:v>2760.0899712138053</c:v>
                </c:pt>
                <c:pt idx="154">
                  <c:v>486.84173388693307</c:v>
                </c:pt>
                <c:pt idx="155">
                  <c:v>-2939.42373860105</c:v>
                </c:pt>
                <c:pt idx="156">
                  <c:v>-14570.350226881739</c:v>
                </c:pt>
                <c:pt idx="157">
                  <c:v>7362.0058282584359</c:v>
                </c:pt>
                <c:pt idx="158">
                  <c:v>-26268.525047602932</c:v>
                </c:pt>
                <c:pt idx="159">
                  <c:v>-19493.515520072571</c:v>
                </c:pt>
                <c:pt idx="160">
                  <c:v>7552.0900859157773</c:v>
                </c:pt>
                <c:pt idx="161">
                  <c:v>8879.5019992322414</c:v>
                </c:pt>
                <c:pt idx="162">
                  <c:v>-17774.176819519169</c:v>
                </c:pt>
                <c:pt idx="163">
                  <c:v>-12489.621735368954</c:v>
                </c:pt>
                <c:pt idx="164">
                  <c:v>-3453.6882871580565</c:v>
                </c:pt>
                <c:pt idx="165">
                  <c:v>-6520.0898991088252</c:v>
                </c:pt>
                <c:pt idx="166">
                  <c:v>13382.366928166932</c:v>
                </c:pt>
                <c:pt idx="167">
                  <c:v>-2346.1651784866444</c:v>
                </c:pt>
                <c:pt idx="168">
                  <c:v>8904.4573585221078</c:v>
                </c:pt>
                <c:pt idx="169">
                  <c:v>-16978.299583226999</c:v>
                </c:pt>
                <c:pt idx="170">
                  <c:v>1600.5724179412064</c:v>
                </c:pt>
                <c:pt idx="171">
                  <c:v>8699.5561465354913</c:v>
                </c:pt>
                <c:pt idx="172">
                  <c:v>2982.0811214074165</c:v>
                </c:pt>
                <c:pt idx="173">
                  <c:v>-1169.0275733739982</c:v>
                </c:pt>
                <c:pt idx="174">
                  <c:v>9476.5223792804027</c:v>
                </c:pt>
                <c:pt idx="175">
                  <c:v>20512.18302991501</c:v>
                </c:pt>
                <c:pt idx="176">
                  <c:v>-19992.154851158979</c:v>
                </c:pt>
                <c:pt idx="177">
                  <c:v>15026.822986773564</c:v>
                </c:pt>
                <c:pt idx="178">
                  <c:v>-6195.187299920799</c:v>
                </c:pt>
                <c:pt idx="179">
                  <c:v>10186.781256086586</c:v>
                </c:pt>
                <c:pt idx="180">
                  <c:v>-1833.2729530344222</c:v>
                </c:pt>
                <c:pt idx="181">
                  <c:v>-18527.278206832845</c:v>
                </c:pt>
                <c:pt idx="182">
                  <c:v>13642.941146612196</c:v>
                </c:pt>
                <c:pt idx="183">
                  <c:v>-145.45656381812296</c:v>
                </c:pt>
                <c:pt idx="184">
                  <c:v>7992.4956641218523</c:v>
                </c:pt>
                <c:pt idx="185">
                  <c:v>10027.90977466746</c:v>
                </c:pt>
                <c:pt idx="186">
                  <c:v>-4186.4401977406378</c:v>
                </c:pt>
                <c:pt idx="187">
                  <c:v>-17187.126889731699</c:v>
                </c:pt>
                <c:pt idx="188">
                  <c:v>7415.4564145678087</c:v>
                </c:pt>
                <c:pt idx="189">
                  <c:v>-24609.626308788393</c:v>
                </c:pt>
                <c:pt idx="190">
                  <c:v>-3916.0880986769116</c:v>
                </c:pt>
                <c:pt idx="191">
                  <c:v>11264.889584440287</c:v>
                </c:pt>
                <c:pt idx="192">
                  <c:v>-6087.4427885190089</c:v>
                </c:pt>
                <c:pt idx="193">
                  <c:v>6110.0026813413351</c:v>
                </c:pt>
                <c:pt idx="194">
                  <c:v>9541.8104742776632</c:v>
                </c:pt>
                <c:pt idx="195">
                  <c:v>13833.472542823984</c:v>
                </c:pt>
                <c:pt idx="196">
                  <c:v>16482.666671307001</c:v>
                </c:pt>
                <c:pt idx="197">
                  <c:v>-8556.1815581034753</c:v>
                </c:pt>
                <c:pt idx="198">
                  <c:v>9032.6382221938693</c:v>
                </c:pt>
                <c:pt idx="199">
                  <c:v>18023.034581450614</c:v>
                </c:pt>
                <c:pt idx="200">
                  <c:v>3573.7123752509942</c:v>
                </c:pt>
                <c:pt idx="201">
                  <c:v>21740.84502457788</c:v>
                </c:pt>
                <c:pt idx="202">
                  <c:v>-4613.2445621418592</c:v>
                </c:pt>
                <c:pt idx="203">
                  <c:v>-12253.573646707548</c:v>
                </c:pt>
                <c:pt idx="204">
                  <c:v>-18145.875006834467</c:v>
                </c:pt>
                <c:pt idx="205">
                  <c:v>4661.2104096426774</c:v>
                </c:pt>
                <c:pt idx="206">
                  <c:v>34897.32584937186</c:v>
                </c:pt>
                <c:pt idx="207">
                  <c:v>-710.010989193368</c:v>
                </c:pt>
                <c:pt idx="208">
                  <c:v>-2197.6577441635891</c:v>
                </c:pt>
                <c:pt idx="209">
                  <c:v>19778.818321166938</c:v>
                </c:pt>
                <c:pt idx="210">
                  <c:v>9453.7541028643027</c:v>
                </c:pt>
                <c:pt idx="211">
                  <c:v>22876.618825092126</c:v>
                </c:pt>
                <c:pt idx="212">
                  <c:v>-2000.8993900347559</c:v>
                </c:pt>
                <c:pt idx="213">
                  <c:v>1126.5254983321356</c:v>
                </c:pt>
                <c:pt idx="214">
                  <c:v>15691.955994235934</c:v>
                </c:pt>
                <c:pt idx="215">
                  <c:v>9687.2740204902657</c:v>
                </c:pt>
                <c:pt idx="216">
                  <c:v>2446.8827457998414</c:v>
                </c:pt>
                <c:pt idx="217">
                  <c:v>15306.838892861793</c:v>
                </c:pt>
                <c:pt idx="218">
                  <c:v>11604.746690052416</c:v>
                </c:pt>
                <c:pt idx="219">
                  <c:v>18153.648826358898</c:v>
                </c:pt>
                <c:pt idx="220">
                  <c:v>-17622.767187454971</c:v>
                </c:pt>
                <c:pt idx="221">
                  <c:v>-23630.197649423062</c:v>
                </c:pt>
                <c:pt idx="222">
                  <c:v>-7968.2979548306321</c:v>
                </c:pt>
                <c:pt idx="223">
                  <c:v>957.65653506928356</c:v>
                </c:pt>
                <c:pt idx="224">
                  <c:v>2080.6592909525789</c:v>
                </c:pt>
                <c:pt idx="225">
                  <c:v>24119.646834118379</c:v>
                </c:pt>
                <c:pt idx="226">
                  <c:v>28406.329251866089</c:v>
                </c:pt>
                <c:pt idx="227">
                  <c:v>22700.528445086267</c:v>
                </c:pt>
                <c:pt idx="228">
                  <c:v>7527.6539885987877</c:v>
                </c:pt>
                <c:pt idx="229">
                  <c:v>-609.11428315390367</c:v>
                </c:pt>
                <c:pt idx="230">
                  <c:v>212.32523795875022</c:v>
                </c:pt>
                <c:pt idx="231">
                  <c:v>12495.42369068478</c:v>
                </c:pt>
                <c:pt idx="232">
                  <c:v>-35793.954511596297</c:v>
                </c:pt>
                <c:pt idx="233">
                  <c:v>19118.171965844231</c:v>
                </c:pt>
                <c:pt idx="234">
                  <c:v>-12591.01634451159</c:v>
                </c:pt>
                <c:pt idx="235">
                  <c:v>-25367.045637430245</c:v>
                </c:pt>
                <c:pt idx="236">
                  <c:v>-3565.1021035201557</c:v>
                </c:pt>
                <c:pt idx="237">
                  <c:v>-25224.741625502822</c:v>
                </c:pt>
                <c:pt idx="238">
                  <c:v>-4617.3620162922016</c:v>
                </c:pt>
                <c:pt idx="239">
                  <c:v>-30592.33169641858</c:v>
                </c:pt>
                <c:pt idx="240">
                  <c:v>7487.320269377582</c:v>
                </c:pt>
                <c:pt idx="241">
                  <c:v>11558.808472673263</c:v>
                </c:pt>
                <c:pt idx="242">
                  <c:v>-16174.347807771002</c:v>
                </c:pt>
                <c:pt idx="243">
                  <c:v>14327.634435783781</c:v>
                </c:pt>
                <c:pt idx="244">
                  <c:v>6749.5080440051097</c:v>
                </c:pt>
                <c:pt idx="245">
                  <c:v>14234.499218353856</c:v>
                </c:pt>
                <c:pt idx="246">
                  <c:v>13257.365455921215</c:v>
                </c:pt>
                <c:pt idx="247">
                  <c:v>7510.1904042373935</c:v>
                </c:pt>
                <c:pt idx="248">
                  <c:v>16567.172839980049</c:v>
                </c:pt>
                <c:pt idx="249">
                  <c:v>-8966.68821106627</c:v>
                </c:pt>
                <c:pt idx="250">
                  <c:v>-16094.174928244785</c:v>
                </c:pt>
                <c:pt idx="251">
                  <c:v>27189.965574499452</c:v>
                </c:pt>
                <c:pt idx="252">
                  <c:v>-1158.4234546366206</c:v>
                </c:pt>
              </c:numCache>
            </c:numRef>
          </c:val>
          <c:smooth val="0"/>
          <c:extLst>
            <c:ext xmlns:c16="http://schemas.microsoft.com/office/drawing/2014/chart" uri="{C3380CC4-5D6E-409C-BE32-E72D297353CC}">
              <c16:uniqueId val="{00000000-3146-4348-BD96-18E66789F222}"/>
            </c:ext>
          </c:extLst>
        </c:ser>
        <c:dLbls>
          <c:showLegendKey val="0"/>
          <c:showVal val="0"/>
          <c:showCatName val="0"/>
          <c:showSerName val="0"/>
          <c:showPercent val="0"/>
          <c:showBubbleSize val="0"/>
        </c:dLbls>
        <c:smooth val="0"/>
        <c:axId val="1573360256"/>
        <c:axId val="1573365536"/>
      </c:lineChart>
      <c:catAx>
        <c:axId val="15733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5536"/>
        <c:crosses val="autoZero"/>
        <c:auto val="1"/>
        <c:lblAlgn val="ctr"/>
        <c:lblOffset val="100"/>
        <c:noMultiLvlLbl val="0"/>
      </c:catAx>
      <c:valAx>
        <c:axId val="15733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Initial Margin vs MPoR</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'Sensitivity Analysis'!$O$9</c:f>
              <c:strCache>
                <c:ptCount val="1"/>
                <c:pt idx="0">
                  <c:v>Initial Margin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'Sensitivity Analysis'!$K$10:$K$13</c:f>
              <c:numCache>
                <c:formatCode>General</c:formatCode>
                <c:ptCount val="4"/>
                <c:pt idx="0">
                  <c:v>5</c:v>
                </c:pt>
                <c:pt idx="1">
                  <c:v>10</c:v>
                </c:pt>
                <c:pt idx="2">
                  <c:v>20</c:v>
                </c:pt>
                <c:pt idx="3">
                  <c:v>30</c:v>
                </c:pt>
              </c:numCache>
            </c:numRef>
          </c:xVal>
          <c:yVal>
            <c:numRef>
              <c:f>'Sensitivity Analysis'!$O$10:$O$13</c:f>
              <c:numCache>
                <c:formatCode>General</c:formatCode>
                <c:ptCount val="4"/>
                <c:pt idx="0">
                  <c:v>80810.347968448972</c:v>
                </c:pt>
                <c:pt idx="1">
                  <c:v>114283.09007706963</c:v>
                </c:pt>
                <c:pt idx="2">
                  <c:v>161620.69593689794</c:v>
                </c:pt>
                <c:pt idx="3">
                  <c:v>197944.1184594552</c:v>
                </c:pt>
              </c:numCache>
            </c:numRef>
          </c:yVal>
          <c:smooth val="0"/>
          <c:extLst>
            <c:ext xmlns:c16="http://schemas.microsoft.com/office/drawing/2014/chart" uri="{C3380CC4-5D6E-409C-BE32-E72D297353CC}">
              <c16:uniqueId val="{00000000-9CE4-406C-BC22-978FC0BB2A81}"/>
            </c:ext>
          </c:extLst>
        </c:ser>
        <c:dLbls>
          <c:showLegendKey val="0"/>
          <c:showVal val="0"/>
          <c:showCatName val="0"/>
          <c:showSerName val="0"/>
          <c:showPercent val="0"/>
          <c:showBubbleSize val="0"/>
        </c:dLbls>
        <c:axId val="1184863760"/>
        <c:axId val="1184864720"/>
      </c:scatterChart>
      <c:valAx>
        <c:axId val="1184863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Margin Period of Risk (days)</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4720"/>
        <c:crosses val="autoZero"/>
        <c:crossBetween val="midCat"/>
      </c:valAx>
      <c:valAx>
        <c:axId val="118486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Initial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3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baseline="0">
                <a:solidFill>
                  <a:srgbClr val="0B2F4A"/>
                </a:solidFill>
              </a:rPr>
              <a:t>Underlying Price Path</a:t>
            </a:r>
            <a:endParaRPr lang="es-ES" sz="1100" b="1">
              <a:solidFill>
                <a:srgbClr val="0B2F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Simulation!$H$2</c:f>
              <c:strCache>
                <c:ptCount val="1"/>
                <c:pt idx="0">
                  <c:v>Underlying Price</c:v>
                </c:pt>
              </c:strCache>
            </c:strRef>
          </c:tx>
          <c:spPr>
            <a:ln w="25400" cap="rnd">
              <a:solidFill>
                <a:srgbClr val="2F6B8A"/>
              </a:solidFill>
              <a:round/>
            </a:ln>
            <a:effectLst/>
          </c:spPr>
          <c:marker>
            <c:symbol val="none"/>
          </c:marker>
          <c:cat>
            <c:numRef>
              <c:f>Simulation!$E$3:$E$255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Simulation!$H$3:$H$255</c:f>
              <c:numCache>
                <c:formatCode>General</c:formatCode>
                <c:ptCount val="253"/>
                <c:pt idx="0">
                  <c:v>100</c:v>
                </c:pt>
                <c:pt idx="1">
                  <c:v>102.53677871712287</c:v>
                </c:pt>
                <c:pt idx="2">
                  <c:v>103.13303009374984</c:v>
                </c:pt>
                <c:pt idx="3">
                  <c:v>102.60081443159967</c:v>
                </c:pt>
                <c:pt idx="4">
                  <c:v>101.10521213922775</c:v>
                </c:pt>
                <c:pt idx="5">
                  <c:v>101.72441758113854</c:v>
                </c:pt>
                <c:pt idx="6">
                  <c:v>100.7736673120464</c:v>
                </c:pt>
                <c:pt idx="7">
                  <c:v>100.75558551069985</c:v>
                </c:pt>
                <c:pt idx="8">
                  <c:v>101.47838340560379</c:v>
                </c:pt>
                <c:pt idx="9">
                  <c:v>100.25564054117201</c:v>
                </c:pt>
                <c:pt idx="10">
                  <c:v>101.34524302656584</c:v>
                </c:pt>
                <c:pt idx="11">
                  <c:v>102.66866411970776</c:v>
                </c:pt>
                <c:pt idx="12">
                  <c:v>100.25207875373243</c:v>
                </c:pt>
                <c:pt idx="13">
                  <c:v>102.79157464134788</c:v>
                </c:pt>
                <c:pt idx="14">
                  <c:v>102.75496553062537</c:v>
                </c:pt>
                <c:pt idx="15">
                  <c:v>103.17224048978608</c:v>
                </c:pt>
                <c:pt idx="16">
                  <c:v>103.729583041014</c:v>
                </c:pt>
                <c:pt idx="17">
                  <c:v>101.81364405434114</c:v>
                </c:pt>
                <c:pt idx="18">
                  <c:v>105.21658604044309</c:v>
                </c:pt>
                <c:pt idx="19">
                  <c:v>104.48256816866106</c:v>
                </c:pt>
                <c:pt idx="20">
                  <c:v>104.31312421777349</c:v>
                </c:pt>
                <c:pt idx="21">
                  <c:v>102.86291106891179</c:v>
                </c:pt>
                <c:pt idx="22">
                  <c:v>103.51849077361059</c:v>
                </c:pt>
                <c:pt idx="23">
                  <c:v>104.9637605102922</c:v>
                </c:pt>
                <c:pt idx="24">
                  <c:v>103.82437021535247</c:v>
                </c:pt>
                <c:pt idx="25">
                  <c:v>106.53800055851717</c:v>
                </c:pt>
                <c:pt idx="26">
                  <c:v>106.88964664615987</c:v>
                </c:pt>
                <c:pt idx="27">
                  <c:v>108.3506949397384</c:v>
                </c:pt>
                <c:pt idx="28">
                  <c:v>108.3844551281933</c:v>
                </c:pt>
                <c:pt idx="29">
                  <c:v>108.7094817116115</c:v>
                </c:pt>
                <c:pt idx="30">
                  <c:v>107.27637558780165</c:v>
                </c:pt>
                <c:pt idx="31">
                  <c:v>108.93198090405187</c:v>
                </c:pt>
                <c:pt idx="32">
                  <c:v>110.88737399428754</c:v>
                </c:pt>
                <c:pt idx="33">
                  <c:v>109.15288329473786</c:v>
                </c:pt>
                <c:pt idx="34">
                  <c:v>111.62432987549147</c:v>
                </c:pt>
                <c:pt idx="35">
                  <c:v>113.11605876015372</c:v>
                </c:pt>
                <c:pt idx="36">
                  <c:v>112.85958727927569</c:v>
                </c:pt>
                <c:pt idx="37">
                  <c:v>114.81175204729453</c:v>
                </c:pt>
                <c:pt idx="38">
                  <c:v>114.23385090137324</c:v>
                </c:pt>
                <c:pt idx="39">
                  <c:v>117.54792073990296</c:v>
                </c:pt>
                <c:pt idx="40">
                  <c:v>117.50934173275283</c:v>
                </c:pt>
                <c:pt idx="41">
                  <c:v>118.7458781863274</c:v>
                </c:pt>
                <c:pt idx="42">
                  <c:v>116.50642698625967</c:v>
                </c:pt>
                <c:pt idx="43">
                  <c:v>114.86816436024574</c:v>
                </c:pt>
                <c:pt idx="44">
                  <c:v>115.13050136402326</c:v>
                </c:pt>
                <c:pt idx="45">
                  <c:v>114.22214811554493</c:v>
                </c:pt>
                <c:pt idx="46">
                  <c:v>113.62723388420393</c:v>
                </c:pt>
                <c:pt idx="47">
                  <c:v>113.21852133917716</c:v>
                </c:pt>
                <c:pt idx="48">
                  <c:v>113.66901355544664</c:v>
                </c:pt>
                <c:pt idx="49">
                  <c:v>116.26797941125935</c:v>
                </c:pt>
                <c:pt idx="50">
                  <c:v>117.49300807433568</c:v>
                </c:pt>
                <c:pt idx="51">
                  <c:v>117.40554173332507</c:v>
                </c:pt>
                <c:pt idx="52">
                  <c:v>114.14995085761549</c:v>
                </c:pt>
                <c:pt idx="53">
                  <c:v>115.4487046150506</c:v>
                </c:pt>
                <c:pt idx="54">
                  <c:v>115.99080237472208</c:v>
                </c:pt>
                <c:pt idx="55">
                  <c:v>118.43452408720384</c:v>
                </c:pt>
                <c:pt idx="56">
                  <c:v>117.48435124923151</c:v>
                </c:pt>
                <c:pt idx="57">
                  <c:v>117.12931032563993</c:v>
                </c:pt>
                <c:pt idx="58">
                  <c:v>115.06794936289674</c:v>
                </c:pt>
                <c:pt idx="59">
                  <c:v>114.77493018467887</c:v>
                </c:pt>
                <c:pt idx="60">
                  <c:v>114.25141355659819</c:v>
                </c:pt>
                <c:pt idx="61">
                  <c:v>114.36979781013456</c:v>
                </c:pt>
                <c:pt idx="62">
                  <c:v>115.47947472373076</c:v>
                </c:pt>
                <c:pt idx="63">
                  <c:v>113.98193083371739</c:v>
                </c:pt>
                <c:pt idx="64">
                  <c:v>114.6537761894447</c:v>
                </c:pt>
                <c:pt idx="65">
                  <c:v>116.30933634361952</c:v>
                </c:pt>
                <c:pt idx="66">
                  <c:v>118.13703783092191</c:v>
                </c:pt>
                <c:pt idx="67">
                  <c:v>117.12874213043877</c:v>
                </c:pt>
                <c:pt idx="68">
                  <c:v>117.624405871251</c:v>
                </c:pt>
                <c:pt idx="69">
                  <c:v>115.99587184719411</c:v>
                </c:pt>
                <c:pt idx="70">
                  <c:v>113.73039640164767</c:v>
                </c:pt>
                <c:pt idx="71">
                  <c:v>114.25473007075047</c:v>
                </c:pt>
                <c:pt idx="72">
                  <c:v>112.6169466698493</c:v>
                </c:pt>
                <c:pt idx="73">
                  <c:v>111.25386986436371</c:v>
                </c:pt>
                <c:pt idx="74">
                  <c:v>110.41594719199114</c:v>
                </c:pt>
                <c:pt idx="75">
                  <c:v>112.21920515003212</c:v>
                </c:pt>
                <c:pt idx="76">
                  <c:v>113.39897183103102</c:v>
                </c:pt>
                <c:pt idx="77">
                  <c:v>116.78471693772261</c:v>
                </c:pt>
                <c:pt idx="78">
                  <c:v>117.46888860923566</c:v>
                </c:pt>
                <c:pt idx="79">
                  <c:v>116.18902328166453</c:v>
                </c:pt>
                <c:pt idx="80">
                  <c:v>119.14680022158522</c:v>
                </c:pt>
                <c:pt idx="81">
                  <c:v>119.82581273514212</c:v>
                </c:pt>
                <c:pt idx="82">
                  <c:v>118.77062594682369</c:v>
                </c:pt>
                <c:pt idx="83">
                  <c:v>119.96856143976024</c:v>
                </c:pt>
                <c:pt idx="84">
                  <c:v>124.8244433892888</c:v>
                </c:pt>
                <c:pt idx="85">
                  <c:v>125.36781481793318</c:v>
                </c:pt>
                <c:pt idx="86">
                  <c:v>125.46262316718942</c:v>
                </c:pt>
                <c:pt idx="87">
                  <c:v>124.29396819330788</c:v>
                </c:pt>
                <c:pt idx="88">
                  <c:v>122.22676949682666</c:v>
                </c:pt>
                <c:pt idx="89">
                  <c:v>122.72553901128988</c:v>
                </c:pt>
                <c:pt idx="90">
                  <c:v>123.55454408360056</c:v>
                </c:pt>
                <c:pt idx="91">
                  <c:v>125.1641973983272</c:v>
                </c:pt>
                <c:pt idx="92">
                  <c:v>120.95708314590895</c:v>
                </c:pt>
                <c:pt idx="93">
                  <c:v>119.8697074769546</c:v>
                </c:pt>
                <c:pt idx="94">
                  <c:v>121.76568835726202</c:v>
                </c:pt>
                <c:pt idx="95">
                  <c:v>123.92673241874857</c:v>
                </c:pt>
                <c:pt idx="96">
                  <c:v>125.11882156896029</c:v>
                </c:pt>
                <c:pt idx="97">
                  <c:v>124.09890795484741</c:v>
                </c:pt>
                <c:pt idx="98">
                  <c:v>122.59165777880061</c:v>
                </c:pt>
                <c:pt idx="99">
                  <c:v>124.46083916399915</c:v>
                </c:pt>
                <c:pt idx="100">
                  <c:v>123.52507801194149</c:v>
                </c:pt>
                <c:pt idx="101">
                  <c:v>123.90138455958815</c:v>
                </c:pt>
                <c:pt idx="102">
                  <c:v>123.67927196975839</c:v>
                </c:pt>
                <c:pt idx="103">
                  <c:v>123.79426008134222</c:v>
                </c:pt>
                <c:pt idx="104">
                  <c:v>123.38924931727421</c:v>
                </c:pt>
                <c:pt idx="105">
                  <c:v>121.90651734519911</c:v>
                </c:pt>
                <c:pt idx="106">
                  <c:v>121.30323892960726</c:v>
                </c:pt>
                <c:pt idx="107">
                  <c:v>122.85138650863455</c:v>
                </c:pt>
                <c:pt idx="108">
                  <c:v>119.78514760445771</c:v>
                </c:pt>
                <c:pt idx="109">
                  <c:v>117.89658901101855</c:v>
                </c:pt>
                <c:pt idx="110">
                  <c:v>120.20146002406442</c:v>
                </c:pt>
                <c:pt idx="111">
                  <c:v>119.69695076450436</c:v>
                </c:pt>
                <c:pt idx="112">
                  <c:v>121.14236123334756</c:v>
                </c:pt>
                <c:pt idx="113">
                  <c:v>118.91392239369328</c:v>
                </c:pt>
                <c:pt idx="114">
                  <c:v>117.83158701793977</c:v>
                </c:pt>
                <c:pt idx="115">
                  <c:v>119.86005462936141</c:v>
                </c:pt>
                <c:pt idx="116">
                  <c:v>119.32616414770224</c:v>
                </c:pt>
                <c:pt idx="117">
                  <c:v>118.8628520807526</c:v>
                </c:pt>
                <c:pt idx="118">
                  <c:v>120.67915947978537</c:v>
                </c:pt>
                <c:pt idx="119">
                  <c:v>121.93818504923193</c:v>
                </c:pt>
                <c:pt idx="120">
                  <c:v>121.40922300385687</c:v>
                </c:pt>
                <c:pt idx="121">
                  <c:v>123.54835533072662</c:v>
                </c:pt>
                <c:pt idx="122">
                  <c:v>124.08733045415495</c:v>
                </c:pt>
                <c:pt idx="123">
                  <c:v>122.99313063150188</c:v>
                </c:pt>
                <c:pt idx="124">
                  <c:v>124.9627071972691</c:v>
                </c:pt>
                <c:pt idx="125">
                  <c:v>121.8851575816813</c:v>
                </c:pt>
                <c:pt idx="126">
                  <c:v>122.14056748066032</c:v>
                </c:pt>
                <c:pt idx="127">
                  <c:v>124.14718981352812</c:v>
                </c:pt>
                <c:pt idx="128">
                  <c:v>126.68873307547884</c:v>
                </c:pt>
                <c:pt idx="129">
                  <c:v>124.35145413072831</c:v>
                </c:pt>
                <c:pt idx="130">
                  <c:v>121.99146571054494</c:v>
                </c:pt>
                <c:pt idx="131">
                  <c:v>121.97624553587318</c:v>
                </c:pt>
                <c:pt idx="132">
                  <c:v>121.50217192274114</c:v>
                </c:pt>
                <c:pt idx="133">
                  <c:v>123.59743636550958</c:v>
                </c:pt>
                <c:pt idx="134">
                  <c:v>124.93867398950512</c:v>
                </c:pt>
                <c:pt idx="135">
                  <c:v>124.94929187750314</c:v>
                </c:pt>
                <c:pt idx="136">
                  <c:v>123.75799266627642</c:v>
                </c:pt>
                <c:pt idx="137">
                  <c:v>121.58276168611084</c:v>
                </c:pt>
                <c:pt idx="138">
                  <c:v>120.41246702247976</c:v>
                </c:pt>
                <c:pt idx="139">
                  <c:v>120.64320666862106</c:v>
                </c:pt>
                <c:pt idx="140">
                  <c:v>119.54873961766214</c:v>
                </c:pt>
                <c:pt idx="141">
                  <c:v>118.28109780924271</c:v>
                </c:pt>
                <c:pt idx="142">
                  <c:v>118.22056622909092</c:v>
                </c:pt>
                <c:pt idx="143">
                  <c:v>117.27514958794536</c:v>
                </c:pt>
                <c:pt idx="144">
                  <c:v>113.32692957936895</c:v>
                </c:pt>
                <c:pt idx="145">
                  <c:v>113.06707273930184</c:v>
                </c:pt>
                <c:pt idx="146">
                  <c:v>114.48032100164791</c:v>
                </c:pt>
                <c:pt idx="147">
                  <c:v>111.90450898175075</c:v>
                </c:pt>
                <c:pt idx="148">
                  <c:v>111.23914584654702</c:v>
                </c:pt>
                <c:pt idx="149">
                  <c:v>107.90635713229838</c:v>
                </c:pt>
                <c:pt idx="150">
                  <c:v>108.36969195531081</c:v>
                </c:pt>
                <c:pt idx="151">
                  <c:v>108.09578229727744</c:v>
                </c:pt>
                <c:pt idx="152">
                  <c:v>109.58252049379752</c:v>
                </c:pt>
                <c:pt idx="153">
                  <c:v>109.8585294909189</c:v>
                </c:pt>
                <c:pt idx="154">
                  <c:v>109.90721366430759</c:v>
                </c:pt>
                <c:pt idx="155">
                  <c:v>109.61327129044749</c:v>
                </c:pt>
                <c:pt idx="156">
                  <c:v>108.15623626775931</c:v>
                </c:pt>
                <c:pt idx="157">
                  <c:v>108.89243685058516</c:v>
                </c:pt>
                <c:pt idx="158">
                  <c:v>106.26558434582486</c:v>
                </c:pt>
                <c:pt idx="159">
                  <c:v>104.3162327938176</c:v>
                </c:pt>
                <c:pt idx="160">
                  <c:v>105.07144180240918</c:v>
                </c:pt>
                <c:pt idx="161">
                  <c:v>105.95939200233241</c:v>
                </c:pt>
                <c:pt idx="162">
                  <c:v>104.18197432038049</c:v>
                </c:pt>
                <c:pt idx="163">
                  <c:v>102.93301214684359</c:v>
                </c:pt>
                <c:pt idx="164">
                  <c:v>102.58764331812779</c:v>
                </c:pt>
                <c:pt idx="165">
                  <c:v>101.93563432821691</c:v>
                </c:pt>
                <c:pt idx="166">
                  <c:v>103.2738710210336</c:v>
                </c:pt>
                <c:pt idx="167">
                  <c:v>103.03925450318494</c:v>
                </c:pt>
                <c:pt idx="168">
                  <c:v>103.92970023903715</c:v>
                </c:pt>
                <c:pt idx="169">
                  <c:v>102.23187028071445</c:v>
                </c:pt>
                <c:pt idx="170">
                  <c:v>102.39192752250857</c:v>
                </c:pt>
                <c:pt idx="171">
                  <c:v>103.26188313716212</c:v>
                </c:pt>
                <c:pt idx="172">
                  <c:v>103.56009124930286</c:v>
                </c:pt>
                <c:pt idx="173">
                  <c:v>103.44318849196546</c:v>
                </c:pt>
                <c:pt idx="174">
                  <c:v>104.3908407298935</c:v>
                </c:pt>
                <c:pt idx="175">
                  <c:v>106.442059032885</c:v>
                </c:pt>
                <c:pt idx="176">
                  <c:v>104.4428435477691</c:v>
                </c:pt>
                <c:pt idx="177">
                  <c:v>105.94552584644646</c:v>
                </c:pt>
                <c:pt idx="178">
                  <c:v>105.32600711645438</c:v>
                </c:pt>
                <c:pt idx="179">
                  <c:v>106.34468524206304</c:v>
                </c:pt>
                <c:pt idx="180">
                  <c:v>106.16135794675959</c:v>
                </c:pt>
                <c:pt idx="181">
                  <c:v>104.30863012607631</c:v>
                </c:pt>
                <c:pt idx="182">
                  <c:v>105.67292424073753</c:v>
                </c:pt>
                <c:pt idx="183">
                  <c:v>105.65837858435572</c:v>
                </c:pt>
                <c:pt idx="184">
                  <c:v>106.4576281507679</c:v>
                </c:pt>
                <c:pt idx="185">
                  <c:v>107.46041912823465</c:v>
                </c:pt>
                <c:pt idx="186">
                  <c:v>107.04177510846058</c:v>
                </c:pt>
                <c:pt idx="187">
                  <c:v>105.32306241948741</c:v>
                </c:pt>
                <c:pt idx="188">
                  <c:v>106.0646080609442</c:v>
                </c:pt>
                <c:pt idx="189">
                  <c:v>103.60364543006536</c:v>
                </c:pt>
                <c:pt idx="190">
                  <c:v>103.21203662019767</c:v>
                </c:pt>
                <c:pt idx="191">
                  <c:v>104.33852557864169</c:v>
                </c:pt>
                <c:pt idx="192">
                  <c:v>103.72978129978979</c:v>
                </c:pt>
                <c:pt idx="193">
                  <c:v>104.34078156792393</c:v>
                </c:pt>
                <c:pt idx="194">
                  <c:v>105.29496261535169</c:v>
                </c:pt>
                <c:pt idx="195">
                  <c:v>106.67830986963409</c:v>
                </c:pt>
                <c:pt idx="196">
                  <c:v>108.32657653676479</c:v>
                </c:pt>
                <c:pt idx="197">
                  <c:v>107.47095838095444</c:v>
                </c:pt>
                <c:pt idx="198">
                  <c:v>108.37422220317383</c:v>
                </c:pt>
                <c:pt idx="199">
                  <c:v>110.17652566131889</c:v>
                </c:pt>
                <c:pt idx="200">
                  <c:v>110.53389689884399</c:v>
                </c:pt>
                <c:pt idx="201">
                  <c:v>112.70798140130178</c:v>
                </c:pt>
                <c:pt idx="202">
                  <c:v>112.24665694508759</c:v>
                </c:pt>
                <c:pt idx="203">
                  <c:v>111.02129958041684</c:v>
                </c:pt>
                <c:pt idx="204">
                  <c:v>109.20671207973339</c:v>
                </c:pt>
                <c:pt idx="205">
                  <c:v>109.67283312069766</c:v>
                </c:pt>
                <c:pt idx="206">
                  <c:v>113.16256570563485</c:v>
                </c:pt>
                <c:pt idx="207">
                  <c:v>113.09156460671551</c:v>
                </c:pt>
                <c:pt idx="208">
                  <c:v>112.87179883229915</c:v>
                </c:pt>
                <c:pt idx="209">
                  <c:v>114.84968066441584</c:v>
                </c:pt>
                <c:pt idx="210">
                  <c:v>115.79505607470227</c:v>
                </c:pt>
                <c:pt idx="211">
                  <c:v>118.08271795721149</c:v>
                </c:pt>
                <c:pt idx="212">
                  <c:v>117.88262801820801</c:v>
                </c:pt>
                <c:pt idx="213">
                  <c:v>117.99528056804122</c:v>
                </c:pt>
                <c:pt idx="214">
                  <c:v>119.56447616746482</c:v>
                </c:pt>
                <c:pt idx="215">
                  <c:v>120.53320356951384</c:v>
                </c:pt>
                <c:pt idx="216">
                  <c:v>120.77789184409383</c:v>
                </c:pt>
                <c:pt idx="217">
                  <c:v>122.30857573338001</c:v>
                </c:pt>
                <c:pt idx="218">
                  <c:v>123.46905040238525</c:v>
                </c:pt>
                <c:pt idx="219">
                  <c:v>125.28441528502114</c:v>
                </c:pt>
                <c:pt idx="220">
                  <c:v>123.52213856627564</c:v>
                </c:pt>
                <c:pt idx="221">
                  <c:v>121.15911880133334</c:v>
                </c:pt>
                <c:pt idx="222">
                  <c:v>120.36228900585027</c:v>
                </c:pt>
                <c:pt idx="223">
                  <c:v>120.4580546593572</c:v>
                </c:pt>
                <c:pt idx="224">
                  <c:v>120.66612058845246</c:v>
                </c:pt>
                <c:pt idx="225">
                  <c:v>123.0780852718643</c:v>
                </c:pt>
                <c:pt idx="226">
                  <c:v>125.91871819705091</c:v>
                </c:pt>
                <c:pt idx="227">
                  <c:v>128.18877104155953</c:v>
                </c:pt>
                <c:pt idx="228">
                  <c:v>128.94153644041941</c:v>
                </c:pt>
                <c:pt idx="229">
                  <c:v>128.88062501210402</c:v>
                </c:pt>
                <c:pt idx="230">
                  <c:v>128.90185753589989</c:v>
                </c:pt>
                <c:pt idx="231">
                  <c:v>130.15139990496837</c:v>
                </c:pt>
                <c:pt idx="232">
                  <c:v>126.57200445380874</c:v>
                </c:pt>
                <c:pt idx="233">
                  <c:v>128.48382165039317</c:v>
                </c:pt>
                <c:pt idx="234">
                  <c:v>127.22472001594201</c:v>
                </c:pt>
                <c:pt idx="235">
                  <c:v>124.68801545219898</c:v>
                </c:pt>
                <c:pt idx="236">
                  <c:v>124.33150524184697</c:v>
                </c:pt>
                <c:pt idx="237">
                  <c:v>121.80903107929669</c:v>
                </c:pt>
                <c:pt idx="238">
                  <c:v>121.34729487766747</c:v>
                </c:pt>
                <c:pt idx="239">
                  <c:v>118.28806170802561</c:v>
                </c:pt>
                <c:pt idx="240">
                  <c:v>119.03679373496337</c:v>
                </c:pt>
                <c:pt idx="241">
                  <c:v>120.19267458223069</c:v>
                </c:pt>
                <c:pt idx="242">
                  <c:v>118.57523980145359</c:v>
                </c:pt>
                <c:pt idx="243">
                  <c:v>120.00800324503197</c:v>
                </c:pt>
                <c:pt idx="244">
                  <c:v>120.68295404943248</c:v>
                </c:pt>
                <c:pt idx="245">
                  <c:v>122.10640397126787</c:v>
                </c:pt>
                <c:pt idx="246">
                  <c:v>123.43214051685999</c:v>
                </c:pt>
                <c:pt idx="247">
                  <c:v>124.18315955728373</c:v>
                </c:pt>
                <c:pt idx="248">
                  <c:v>125.83987684128174</c:v>
                </c:pt>
                <c:pt idx="249">
                  <c:v>124.94320802017511</c:v>
                </c:pt>
                <c:pt idx="250">
                  <c:v>123.33379052735063</c:v>
                </c:pt>
                <c:pt idx="251">
                  <c:v>126.05278708480057</c:v>
                </c:pt>
                <c:pt idx="252">
                  <c:v>125.93694473933691</c:v>
                </c:pt>
              </c:numCache>
            </c:numRef>
          </c:val>
          <c:smooth val="0"/>
          <c:extLst>
            <c:ext xmlns:c16="http://schemas.microsoft.com/office/drawing/2014/chart" uri="{C3380CC4-5D6E-409C-BE32-E72D297353CC}">
              <c16:uniqueId val="{00000000-BBAD-4456-BBE7-E56176BC6BF8}"/>
            </c:ext>
          </c:extLst>
        </c:ser>
        <c:dLbls>
          <c:showLegendKey val="0"/>
          <c:showVal val="0"/>
          <c:showCatName val="0"/>
          <c:showSerName val="0"/>
          <c:showPercent val="0"/>
          <c:showBubbleSize val="0"/>
        </c:dLbls>
        <c:smooth val="0"/>
        <c:axId val="1780233488"/>
        <c:axId val="1192303856"/>
      </c:lineChart>
      <c:catAx>
        <c:axId val="17802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2303856"/>
        <c:crosses val="autoZero"/>
        <c:auto val="1"/>
        <c:lblAlgn val="ctr"/>
        <c:lblOffset val="100"/>
        <c:tickLblSkip val="50"/>
        <c:noMultiLvlLbl val="0"/>
      </c:catAx>
      <c:valAx>
        <c:axId val="1192303856"/>
        <c:scaling>
          <c:orientation val="minMax"/>
        </c:scaling>
        <c:delete val="0"/>
        <c:axPos val="l"/>
        <c:majorGridlines>
          <c:spPr>
            <a:ln w="6350" cap="flat" cmpd="sng" algn="ctr">
              <a:gradFill>
                <a:gsLst>
                  <a:gs pos="0">
                    <a:srgbClr val="E5E7E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0233488"/>
        <c:crosses val="autoZero"/>
        <c:crossBetween val="between"/>
      </c:valAx>
      <c:spPr>
        <a:no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s-ES" sz="1200" b="1" i="0" u="none" strike="noStrike" kern="1200" spc="0" baseline="0">
                <a:solidFill>
                  <a:srgbClr val="0B2F4A"/>
                </a:solidFill>
              </a:rPr>
              <a:t>Market-to-Market</a:t>
            </a:r>
          </a:p>
        </c:rich>
      </c:tx>
      <c:layout>
        <c:manualLayout>
          <c:xMode val="edge"/>
          <c:yMode val="edge"/>
          <c:x val="0.37143766277803486"/>
          <c:y val="2.753364651350684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s-ES"/>
        </a:p>
      </c:txPr>
    </c:title>
    <c:autoTitleDeleted val="0"/>
    <c:plotArea>
      <c:layout/>
      <c:scatterChart>
        <c:scatterStyle val="lineMarker"/>
        <c:varyColors val="0"/>
        <c:ser>
          <c:idx val="0"/>
          <c:order val="0"/>
          <c:tx>
            <c:strRef>
              <c:f>'MTM and VM'!$J$2</c:f>
              <c:strCache>
                <c:ptCount val="1"/>
                <c:pt idx="0">
                  <c:v>Mark-to-Market</c:v>
                </c:pt>
              </c:strCache>
            </c:strRef>
          </c:tx>
          <c:spPr>
            <a:ln w="25400" cap="rnd">
              <a:solidFill>
                <a:srgbClr val="2F6B8A"/>
              </a:solidFill>
              <a:round/>
            </a:ln>
            <a:effectLst/>
          </c:spPr>
          <c:marker>
            <c:symbol val="none"/>
          </c:marker>
          <c:xVal>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xVal>
          <c:yVal>
            <c:numRef>
              <c:f>'MTM and VM'!$J$3:$J$255</c:f>
              <c:numCache>
                <c:formatCode>General</c:formatCode>
                <c:ptCount val="253"/>
                <c:pt idx="0">
                  <c:v>0</c:v>
                </c:pt>
                <c:pt idx="1">
                  <c:v>25367.787171228716</c:v>
                </c:pt>
                <c:pt idx="2">
                  <c:v>31330.300937498378</c:v>
                </c:pt>
                <c:pt idx="3">
                  <c:v>26008.144315996728</c:v>
                </c:pt>
                <c:pt idx="4">
                  <c:v>11052.121392277457</c:v>
                </c:pt>
                <c:pt idx="5">
                  <c:v>17244.17581138539</c:v>
                </c:pt>
                <c:pt idx="6">
                  <c:v>7736.6731204639909</c:v>
                </c:pt>
                <c:pt idx="7">
                  <c:v>7555.8551069984505</c:v>
                </c:pt>
                <c:pt idx="8">
                  <c:v>14783.834056037933</c:v>
                </c:pt>
                <c:pt idx="9">
                  <c:v>2556.4054117201354</c:v>
                </c:pt>
                <c:pt idx="10">
                  <c:v>13452.430265658393</c:v>
                </c:pt>
                <c:pt idx="11">
                  <c:v>26686.641197077563</c:v>
                </c:pt>
                <c:pt idx="12">
                  <c:v>2520.7875373243382</c:v>
                </c:pt>
                <c:pt idx="13">
                  <c:v>27915.746413478784</c:v>
                </c:pt>
                <c:pt idx="14">
                  <c:v>27549.655306253699</c:v>
                </c:pt>
                <c:pt idx="15">
                  <c:v>31722.404897860768</c:v>
                </c:pt>
                <c:pt idx="16">
                  <c:v>37295.830410139955</c:v>
                </c:pt>
                <c:pt idx="17">
                  <c:v>18136.440543411394</c:v>
                </c:pt>
                <c:pt idx="18">
                  <c:v>52165.860404430903</c:v>
                </c:pt>
                <c:pt idx="19">
                  <c:v>44825.681686610609</c:v>
                </c:pt>
                <c:pt idx="20">
                  <c:v>43131.242177734915</c:v>
                </c:pt>
                <c:pt idx="21">
                  <c:v>28629.110689117853</c:v>
                </c:pt>
                <c:pt idx="22">
                  <c:v>35184.907736105939</c:v>
                </c:pt>
                <c:pt idx="23">
                  <c:v>49637.60510292204</c:v>
                </c:pt>
                <c:pt idx="24">
                  <c:v>38243.70215352474</c:v>
                </c:pt>
                <c:pt idx="25">
                  <c:v>65380.005585171697</c:v>
                </c:pt>
                <c:pt idx="26">
                  <c:v>68896.466461598742</c:v>
                </c:pt>
                <c:pt idx="27">
                  <c:v>83506.949397384044</c:v>
                </c:pt>
                <c:pt idx="28">
                  <c:v>83844.55128193296</c:v>
                </c:pt>
                <c:pt idx="29">
                  <c:v>87094.817116115024</c:v>
                </c:pt>
                <c:pt idx="30">
                  <c:v>72763.755878016527</c:v>
                </c:pt>
                <c:pt idx="31">
                  <c:v>89319.809040518681</c:v>
                </c:pt>
                <c:pt idx="32">
                  <c:v>108873.73994287543</c:v>
                </c:pt>
                <c:pt idx="33">
                  <c:v>91528.832947378629</c:v>
                </c:pt>
                <c:pt idx="34">
                  <c:v>116243.29875491469</c:v>
                </c:pt>
                <c:pt idx="35">
                  <c:v>131160.58760153721</c:v>
                </c:pt>
                <c:pt idx="36">
                  <c:v>128595.87279275685</c:v>
                </c:pt>
                <c:pt idx="37">
                  <c:v>148117.52047294533</c:v>
                </c:pt>
                <c:pt idx="38">
                  <c:v>142338.50901373246</c:v>
                </c:pt>
                <c:pt idx="39">
                  <c:v>175479.20739902963</c:v>
                </c:pt>
                <c:pt idx="40">
                  <c:v>175093.41732752832</c:v>
                </c:pt>
                <c:pt idx="41">
                  <c:v>187458.78186327402</c:v>
                </c:pt>
                <c:pt idx="42">
                  <c:v>165064.2698625967</c:v>
                </c:pt>
                <c:pt idx="43">
                  <c:v>148681.64360245742</c:v>
                </c:pt>
                <c:pt idx="44">
                  <c:v>151305.01364023262</c:v>
                </c:pt>
                <c:pt idx="45">
                  <c:v>142221.48115544923</c:v>
                </c:pt>
                <c:pt idx="46">
                  <c:v>136272.33884203932</c:v>
                </c:pt>
                <c:pt idx="47">
                  <c:v>132185.21339177157</c:v>
                </c:pt>
                <c:pt idx="48">
                  <c:v>136690.1355544664</c:v>
                </c:pt>
                <c:pt idx="49">
                  <c:v>162679.79411259349</c:v>
                </c:pt>
                <c:pt idx="50">
                  <c:v>174930.08074335678</c:v>
                </c:pt>
                <c:pt idx="51">
                  <c:v>174055.41733325066</c:v>
                </c:pt>
                <c:pt idx="52">
                  <c:v>141499.50857615491</c:v>
                </c:pt>
                <c:pt idx="53">
                  <c:v>154487.04615050601</c:v>
                </c:pt>
                <c:pt idx="54">
                  <c:v>159908.02374722081</c:v>
                </c:pt>
                <c:pt idx="55">
                  <c:v>184345.24087203841</c:v>
                </c:pt>
                <c:pt idx="56">
                  <c:v>174843.51249231509</c:v>
                </c:pt>
                <c:pt idx="57">
                  <c:v>171293.10325639934</c:v>
                </c:pt>
                <c:pt idx="58">
                  <c:v>150679.49362896741</c:v>
                </c:pt>
                <c:pt idx="59">
                  <c:v>147749.30184678867</c:v>
                </c:pt>
                <c:pt idx="60">
                  <c:v>142514.13556598194</c:v>
                </c:pt>
                <c:pt idx="61">
                  <c:v>143697.97810134556</c:v>
                </c:pt>
                <c:pt idx="62">
                  <c:v>154794.7472373076</c:v>
                </c:pt>
                <c:pt idx="63">
                  <c:v>139819.30833717386</c:v>
                </c:pt>
                <c:pt idx="64">
                  <c:v>146537.76189444697</c:v>
                </c:pt>
                <c:pt idx="65">
                  <c:v>163093.36343619521</c:v>
                </c:pt>
                <c:pt idx="66">
                  <c:v>181370.37830921912</c:v>
                </c:pt>
                <c:pt idx="67">
                  <c:v>171287.42130438768</c:v>
                </c:pt>
                <c:pt idx="68">
                  <c:v>176244.05871251001</c:v>
                </c:pt>
                <c:pt idx="69">
                  <c:v>159958.7184719411</c:v>
                </c:pt>
                <c:pt idx="70">
                  <c:v>137303.96401647668</c:v>
                </c:pt>
                <c:pt idx="71">
                  <c:v>142547.30070750468</c:v>
                </c:pt>
                <c:pt idx="72">
                  <c:v>126169.46669849299</c:v>
                </c:pt>
                <c:pt idx="73">
                  <c:v>112538.69864363708</c:v>
                </c:pt>
                <c:pt idx="74">
                  <c:v>104159.47191991138</c:v>
                </c:pt>
                <c:pt idx="75">
                  <c:v>122192.05150032123</c:v>
                </c:pt>
                <c:pt idx="76">
                  <c:v>133989.71831031021</c:v>
                </c:pt>
                <c:pt idx="77">
                  <c:v>167847.16937722606</c:v>
                </c:pt>
                <c:pt idx="78">
                  <c:v>174688.88609235664</c:v>
                </c:pt>
                <c:pt idx="79">
                  <c:v>161890.23281664532</c:v>
                </c:pt>
                <c:pt idx="80">
                  <c:v>191468.00221585226</c:v>
                </c:pt>
                <c:pt idx="81">
                  <c:v>198258.12735142122</c:v>
                </c:pt>
                <c:pt idx="82">
                  <c:v>187706.25946823685</c:v>
                </c:pt>
                <c:pt idx="83">
                  <c:v>199685.61439760236</c:v>
                </c:pt>
                <c:pt idx="84">
                  <c:v>248244.43389288802</c:v>
                </c:pt>
                <c:pt idx="85">
                  <c:v>253678.14817933182</c:v>
                </c:pt>
                <c:pt idx="86">
                  <c:v>254626.2316718942</c:v>
                </c:pt>
                <c:pt idx="87">
                  <c:v>242939.68193307877</c:v>
                </c:pt>
                <c:pt idx="88">
                  <c:v>222267.69496826662</c:v>
                </c:pt>
                <c:pt idx="89">
                  <c:v>227255.39011289884</c:v>
                </c:pt>
                <c:pt idx="90">
                  <c:v>235545.44083600561</c:v>
                </c:pt>
                <c:pt idx="91">
                  <c:v>251641.97398327204</c:v>
                </c:pt>
                <c:pt idx="92">
                  <c:v>209570.83145908953</c:v>
                </c:pt>
                <c:pt idx="93">
                  <c:v>198697.07476954602</c:v>
                </c:pt>
                <c:pt idx="94">
                  <c:v>217656.88357262022</c:v>
                </c:pt>
                <c:pt idx="95">
                  <c:v>239267.32418748573</c:v>
                </c:pt>
                <c:pt idx="96">
                  <c:v>251188.21568960286</c:v>
                </c:pt>
                <c:pt idx="97">
                  <c:v>240989.07954847405</c:v>
                </c:pt>
                <c:pt idx="98">
                  <c:v>225916.57778800608</c:v>
                </c:pt>
                <c:pt idx="99">
                  <c:v>244608.39163999155</c:v>
                </c:pt>
                <c:pt idx="100">
                  <c:v>235250.78011941488</c:v>
                </c:pt>
                <c:pt idx="101">
                  <c:v>239013.84559588152</c:v>
                </c:pt>
                <c:pt idx="102">
                  <c:v>236792.7196975839</c:v>
                </c:pt>
                <c:pt idx="103">
                  <c:v>237942.60081342218</c:v>
                </c:pt>
                <c:pt idx="104">
                  <c:v>233892.49317274208</c:v>
                </c:pt>
                <c:pt idx="105">
                  <c:v>219065.17345199105</c:v>
                </c:pt>
                <c:pt idx="106">
                  <c:v>213032.38929607259</c:v>
                </c:pt>
                <c:pt idx="107">
                  <c:v>228513.86508634547</c:v>
                </c:pt>
                <c:pt idx="108">
                  <c:v>197851.47604457705</c:v>
                </c:pt>
                <c:pt idx="109">
                  <c:v>178965.89011018549</c:v>
                </c:pt>
                <c:pt idx="110">
                  <c:v>202014.60024064415</c:v>
                </c:pt>
                <c:pt idx="111">
                  <c:v>196969.50764504363</c:v>
                </c:pt>
                <c:pt idx="112">
                  <c:v>211423.61233347555</c:v>
                </c:pt>
                <c:pt idx="113">
                  <c:v>189139.22393693283</c:v>
                </c:pt>
                <c:pt idx="114">
                  <c:v>178315.87017939767</c:v>
                </c:pt>
                <c:pt idx="115">
                  <c:v>198600.54629361414</c:v>
                </c:pt>
                <c:pt idx="116">
                  <c:v>193261.64147702244</c:v>
                </c:pt>
                <c:pt idx="117">
                  <c:v>188628.52080752605</c:v>
                </c:pt>
                <c:pt idx="118">
                  <c:v>206791.5947978537</c:v>
                </c:pt>
                <c:pt idx="119">
                  <c:v>219381.85049231935</c:v>
                </c:pt>
                <c:pt idx="120">
                  <c:v>214092.23003856867</c:v>
                </c:pt>
                <c:pt idx="121">
                  <c:v>235483.55330726624</c:v>
                </c:pt>
                <c:pt idx="122">
                  <c:v>240873.3045415495</c:v>
                </c:pt>
                <c:pt idx="123">
                  <c:v>229931.30631501885</c:v>
                </c:pt>
                <c:pt idx="124">
                  <c:v>249627.07197269096</c:v>
                </c:pt>
                <c:pt idx="125">
                  <c:v>218851.57581681298</c:v>
                </c:pt>
                <c:pt idx="126">
                  <c:v>221405.67480660323</c:v>
                </c:pt>
                <c:pt idx="127">
                  <c:v>241471.89813528114</c:v>
                </c:pt>
                <c:pt idx="128">
                  <c:v>266887.33075478836</c:v>
                </c:pt>
                <c:pt idx="129">
                  <c:v>243514.54130728316</c:v>
                </c:pt>
                <c:pt idx="130">
                  <c:v>219914.65710544944</c:v>
                </c:pt>
                <c:pt idx="131">
                  <c:v>219762.45535873176</c:v>
                </c:pt>
                <c:pt idx="132">
                  <c:v>215021.71922741143</c:v>
                </c:pt>
                <c:pt idx="133">
                  <c:v>235974.3636550958</c:v>
                </c:pt>
                <c:pt idx="134">
                  <c:v>249386.7398950512</c:v>
                </c:pt>
                <c:pt idx="135">
                  <c:v>249492.91877503143</c:v>
                </c:pt>
                <c:pt idx="136">
                  <c:v>237579.92666276422</c:v>
                </c:pt>
                <c:pt idx="137">
                  <c:v>215827.61686110843</c:v>
                </c:pt>
                <c:pt idx="138">
                  <c:v>204124.67022479759</c:v>
                </c:pt>
                <c:pt idx="139">
                  <c:v>206432.0666862106</c:v>
                </c:pt>
                <c:pt idx="140">
                  <c:v>195487.39617662138</c:v>
                </c:pt>
                <c:pt idx="141">
                  <c:v>182810.97809242707</c:v>
                </c:pt>
                <c:pt idx="142">
                  <c:v>182205.66229090921</c:v>
                </c:pt>
                <c:pt idx="143">
                  <c:v>172751.49587945367</c:v>
                </c:pt>
                <c:pt idx="144">
                  <c:v>133269.29579368953</c:v>
                </c:pt>
                <c:pt idx="145">
                  <c:v>130670.72739301836</c:v>
                </c:pt>
                <c:pt idx="146">
                  <c:v>144803.21001647908</c:v>
                </c:pt>
                <c:pt idx="147">
                  <c:v>119045.08981750751</c:v>
                </c:pt>
                <c:pt idx="148">
                  <c:v>112391.45846547018</c:v>
                </c:pt>
                <c:pt idx="149">
                  <c:v>79063.571322983815</c:v>
                </c:pt>
                <c:pt idx="150">
                  <c:v>83696.919553108135</c:v>
                </c:pt>
                <c:pt idx="151">
                  <c:v>80957.822972774375</c:v>
                </c:pt>
                <c:pt idx="152">
                  <c:v>95825.20493797517</c:v>
                </c:pt>
                <c:pt idx="153">
                  <c:v>98585.294909188975</c:v>
                </c:pt>
                <c:pt idx="154">
                  <c:v>99072.136643075908</c:v>
                </c:pt>
                <c:pt idx="155">
                  <c:v>96132.712904474858</c:v>
                </c:pt>
                <c:pt idx="156">
                  <c:v>81562.362677593119</c:v>
                </c:pt>
                <c:pt idx="157">
                  <c:v>88924.368505851555</c:v>
                </c:pt>
                <c:pt idx="158">
                  <c:v>62655.843458248622</c:v>
                </c:pt>
                <c:pt idx="159">
                  <c:v>43162.327938176051</c:v>
                </c:pt>
                <c:pt idx="160">
                  <c:v>50714.418024091829</c:v>
                </c:pt>
                <c:pt idx="161">
                  <c:v>59593.92002332407</c:v>
                </c:pt>
                <c:pt idx="162">
                  <c:v>41819.743203804901</c:v>
                </c:pt>
                <c:pt idx="163">
                  <c:v>29330.121468435947</c:v>
                </c:pt>
                <c:pt idx="164">
                  <c:v>25876.433181277891</c:v>
                </c:pt>
                <c:pt idx="165">
                  <c:v>19356.343282169066</c:v>
                </c:pt>
                <c:pt idx="166">
                  <c:v>32738.710210335998</c:v>
                </c:pt>
                <c:pt idx="167">
                  <c:v>30392.545031849353</c:v>
                </c:pt>
                <c:pt idx="168">
                  <c:v>39297.002390371461</c:v>
                </c:pt>
                <c:pt idx="169">
                  <c:v>22318.702807144462</c:v>
                </c:pt>
                <c:pt idx="170">
                  <c:v>23919.275225085668</c:v>
                </c:pt>
                <c:pt idx="171">
                  <c:v>32618.83137162116</c:v>
                </c:pt>
                <c:pt idx="172">
                  <c:v>35600.912493028576</c:v>
                </c:pt>
                <c:pt idx="173">
                  <c:v>34431.884919654578</c:v>
                </c:pt>
                <c:pt idx="174">
                  <c:v>43908.407298934981</c:v>
                </c:pt>
                <c:pt idx="175">
                  <c:v>64420.59032884999</c:v>
                </c:pt>
                <c:pt idx="176">
                  <c:v>44428.435477691011</c:v>
                </c:pt>
                <c:pt idx="177">
                  <c:v>59455.258464464576</c:v>
                </c:pt>
                <c:pt idx="178">
                  <c:v>53260.071164543777</c:v>
                </c:pt>
                <c:pt idx="179">
                  <c:v>63446.852420630363</c:v>
                </c:pt>
                <c:pt idx="180">
                  <c:v>61613.579467595941</c:v>
                </c:pt>
                <c:pt idx="181">
                  <c:v>43086.301260763095</c:v>
                </c:pt>
                <c:pt idx="182">
                  <c:v>56729.242407375292</c:v>
                </c:pt>
                <c:pt idx="183">
                  <c:v>56583.785843557169</c:v>
                </c:pt>
                <c:pt idx="184">
                  <c:v>64576.281507679021</c:v>
                </c:pt>
                <c:pt idx="185">
                  <c:v>74604.191282346481</c:v>
                </c:pt>
                <c:pt idx="186">
                  <c:v>70417.751084605843</c:v>
                </c:pt>
                <c:pt idx="187">
                  <c:v>53230.624194874144</c:v>
                </c:pt>
                <c:pt idx="188">
                  <c:v>60646.080609441953</c:v>
                </c:pt>
                <c:pt idx="189">
                  <c:v>36036.45430065356</c:v>
                </c:pt>
                <c:pt idx="190">
                  <c:v>32120.366201976649</c:v>
                </c:pt>
                <c:pt idx="191">
                  <c:v>43385.255786416936</c:v>
                </c:pt>
                <c:pt idx="192">
                  <c:v>37297.812997897927</c:v>
                </c:pt>
                <c:pt idx="193">
                  <c:v>43407.815679239262</c:v>
                </c:pt>
                <c:pt idx="194">
                  <c:v>52949.626153516925</c:v>
                </c:pt>
                <c:pt idx="195">
                  <c:v>66783.098696340909</c:v>
                </c:pt>
                <c:pt idx="196">
                  <c:v>83265.765367647909</c:v>
                </c:pt>
                <c:pt idx="197">
                  <c:v>74709.583809544434</c:v>
                </c:pt>
                <c:pt idx="198">
                  <c:v>83742.222031738303</c:v>
                </c:pt>
                <c:pt idx="199">
                  <c:v>101765.25661318892</c:v>
                </c:pt>
                <c:pt idx="200">
                  <c:v>105338.96898843991</c:v>
                </c:pt>
                <c:pt idx="201">
                  <c:v>127079.81401301779</c:v>
                </c:pt>
                <c:pt idx="202">
                  <c:v>122466.56945087593</c:v>
                </c:pt>
                <c:pt idx="203">
                  <c:v>110212.99580416839</c:v>
                </c:pt>
                <c:pt idx="204">
                  <c:v>92067.120797333919</c:v>
                </c:pt>
                <c:pt idx="205">
                  <c:v>96728.331206976596</c:v>
                </c:pt>
                <c:pt idx="206">
                  <c:v>131625.65705634846</c:v>
                </c:pt>
                <c:pt idx="207">
                  <c:v>130915.64606715509</c:v>
                </c:pt>
                <c:pt idx="208">
                  <c:v>128717.9883229915</c:v>
                </c:pt>
                <c:pt idx="209">
                  <c:v>148496.80664415844</c:v>
                </c:pt>
                <c:pt idx="210">
                  <c:v>157950.56074702274</c:v>
                </c:pt>
                <c:pt idx="211">
                  <c:v>180827.17957211487</c:v>
                </c:pt>
                <c:pt idx="212">
                  <c:v>178826.28018208011</c:v>
                </c:pt>
                <c:pt idx="213">
                  <c:v>179952.80568041225</c:v>
                </c:pt>
                <c:pt idx="214">
                  <c:v>195644.76167464818</c:v>
                </c:pt>
                <c:pt idx="215">
                  <c:v>205332.03569513845</c:v>
                </c:pt>
                <c:pt idx="216">
                  <c:v>207778.91844093829</c:v>
                </c:pt>
                <c:pt idx="217">
                  <c:v>223085.75733380008</c:v>
                </c:pt>
                <c:pt idx="218">
                  <c:v>234690.5040238525</c:v>
                </c:pt>
                <c:pt idx="219">
                  <c:v>252844.15285021139</c:v>
                </c:pt>
                <c:pt idx="220">
                  <c:v>235221.38566275642</c:v>
                </c:pt>
                <c:pt idx="221">
                  <c:v>211591.18801333336</c:v>
                </c:pt>
                <c:pt idx="222">
                  <c:v>203622.89005850273</c:v>
                </c:pt>
                <c:pt idx="223">
                  <c:v>204580.54659357201</c:v>
                </c:pt>
                <c:pt idx="224">
                  <c:v>206661.20588452459</c:v>
                </c:pt>
                <c:pt idx="225">
                  <c:v>230780.85271864297</c:v>
                </c:pt>
                <c:pt idx="226">
                  <c:v>259187.18197050906</c:v>
                </c:pt>
                <c:pt idx="227">
                  <c:v>281887.71041559533</c:v>
                </c:pt>
                <c:pt idx="228">
                  <c:v>289415.36440419412</c:v>
                </c:pt>
                <c:pt idx="229">
                  <c:v>288806.25012104021</c:v>
                </c:pt>
                <c:pt idx="230">
                  <c:v>289018.57535899896</c:v>
                </c:pt>
                <c:pt idx="231">
                  <c:v>301513.99904968374</c:v>
                </c:pt>
                <c:pt idx="232">
                  <c:v>265720.04453808744</c:v>
                </c:pt>
                <c:pt idx="233">
                  <c:v>284838.21650393168</c:v>
                </c:pt>
                <c:pt idx="234">
                  <c:v>272247.20015942008</c:v>
                </c:pt>
                <c:pt idx="235">
                  <c:v>246880.15452198984</c:v>
                </c:pt>
                <c:pt idx="236">
                  <c:v>243315.05241846968</c:v>
                </c:pt>
                <c:pt idx="237">
                  <c:v>218090.31079296686</c:v>
                </c:pt>
                <c:pt idx="238">
                  <c:v>213472.94877667466</c:v>
                </c:pt>
                <c:pt idx="239">
                  <c:v>182880.61708025608</c:v>
                </c:pt>
                <c:pt idx="240">
                  <c:v>190367.93734963366</c:v>
                </c:pt>
                <c:pt idx="241">
                  <c:v>201926.74582230693</c:v>
                </c:pt>
                <c:pt idx="242">
                  <c:v>185752.39801453592</c:v>
                </c:pt>
                <c:pt idx="243">
                  <c:v>200080.0324503197</c:v>
                </c:pt>
                <c:pt idx="244">
                  <c:v>206829.54049432481</c:v>
                </c:pt>
                <c:pt idx="245">
                  <c:v>221064.03971267867</c:v>
                </c:pt>
                <c:pt idx="246">
                  <c:v>234321.40516859989</c:v>
                </c:pt>
                <c:pt idx="247">
                  <c:v>241831.59557283728</c:v>
                </c:pt>
                <c:pt idx="248">
                  <c:v>258398.76841281733</c:v>
                </c:pt>
                <c:pt idx="249">
                  <c:v>249432.08020175106</c:v>
                </c:pt>
                <c:pt idx="250">
                  <c:v>233337.90527350627</c:v>
                </c:pt>
                <c:pt idx="251">
                  <c:v>260527.87084800572</c:v>
                </c:pt>
                <c:pt idx="252">
                  <c:v>259369.4473933691</c:v>
                </c:pt>
              </c:numCache>
            </c:numRef>
          </c:yVal>
          <c:smooth val="0"/>
          <c:extLst>
            <c:ext xmlns:c16="http://schemas.microsoft.com/office/drawing/2014/chart" uri="{C3380CC4-5D6E-409C-BE32-E72D297353CC}">
              <c16:uniqueId val="{00000000-2298-4172-AD84-9EB85C578CB2}"/>
            </c:ext>
          </c:extLst>
        </c:ser>
        <c:dLbls>
          <c:showLegendKey val="0"/>
          <c:showVal val="0"/>
          <c:showCatName val="0"/>
          <c:showSerName val="0"/>
          <c:showPercent val="0"/>
          <c:showBubbleSize val="0"/>
        </c:dLbls>
        <c:axId val="1159354032"/>
        <c:axId val="1159349232"/>
      </c:scatterChart>
      <c:valAx>
        <c:axId val="1159354032"/>
        <c:scaling>
          <c:orientation val="minMax"/>
          <c:max val="252"/>
          <c:min val="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ES"/>
          </a:p>
        </c:txPr>
        <c:crossAx val="1159349232"/>
        <c:crosses val="autoZero"/>
        <c:crossBetween val="midCat"/>
      </c:valAx>
      <c:valAx>
        <c:axId val="115934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ES"/>
          </a:p>
        </c:txPr>
        <c:crossAx val="115935403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kern="1200" spc="0" baseline="0">
                <a:solidFill>
                  <a:srgbClr val="0B2F4A"/>
                </a:solidFill>
              </a:rPr>
              <a:t>Daily variation margin </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'MTM and VM'!$K$2</c:f>
              <c:strCache>
                <c:ptCount val="1"/>
                <c:pt idx="0">
                  <c:v>Variation Margin</c:v>
                </c:pt>
              </c:strCache>
            </c:strRef>
          </c:tx>
          <c:spPr>
            <a:solidFill>
              <a:schemeClr val="accent1"/>
            </a:solidFill>
            <a:ln w="0">
              <a:solidFill>
                <a:srgbClr val="2F6B8A"/>
              </a:solidFill>
            </a:ln>
            <a:effectLst/>
          </c:spPr>
          <c:invertIfNegative val="1"/>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VM'!$K$3:$K$255</c:f>
              <c:numCache>
                <c:formatCode>General</c:formatCode>
                <c:ptCount val="253"/>
                <c:pt idx="0">
                  <c:v>0</c:v>
                </c:pt>
                <c:pt idx="1">
                  <c:v>25367.787171228716</c:v>
                </c:pt>
                <c:pt idx="2">
                  <c:v>5962.5137662696616</c:v>
                </c:pt>
                <c:pt idx="3">
                  <c:v>-5322.1566215016501</c:v>
                </c:pt>
                <c:pt idx="4">
                  <c:v>-14956.022923719271</c:v>
                </c:pt>
                <c:pt idx="5">
                  <c:v>6192.0544191079334</c:v>
                </c:pt>
                <c:pt idx="6">
                  <c:v>-9507.5026909213993</c:v>
                </c:pt>
                <c:pt idx="7">
                  <c:v>-180.81801346554039</c:v>
                </c:pt>
                <c:pt idx="8">
                  <c:v>7227.9789490394824</c:v>
                </c:pt>
                <c:pt idx="9">
                  <c:v>-12227.428644317797</c:v>
                </c:pt>
                <c:pt idx="10">
                  <c:v>10896.024853938257</c:v>
                </c:pt>
                <c:pt idx="11">
                  <c:v>13234.210931419169</c:v>
                </c:pt>
                <c:pt idx="12">
                  <c:v>-24165.853659753226</c:v>
                </c:pt>
                <c:pt idx="13">
                  <c:v>25394.958876154447</c:v>
                </c:pt>
                <c:pt idx="14">
                  <c:v>-366.09110722508558</c:v>
                </c:pt>
                <c:pt idx="15">
                  <c:v>4172.7495916070693</c:v>
                </c:pt>
                <c:pt idx="16">
                  <c:v>5573.4255122791874</c:v>
                </c:pt>
                <c:pt idx="17">
                  <c:v>-19159.389866728561</c:v>
                </c:pt>
                <c:pt idx="18">
                  <c:v>34029.419861019509</c:v>
                </c:pt>
                <c:pt idx="19">
                  <c:v>-7340.178717820294</c:v>
                </c:pt>
                <c:pt idx="20">
                  <c:v>-1694.4395088756937</c:v>
                </c:pt>
                <c:pt idx="21">
                  <c:v>-14502.131488617062</c:v>
                </c:pt>
                <c:pt idx="22">
                  <c:v>6555.7970469880856</c:v>
                </c:pt>
                <c:pt idx="23">
                  <c:v>14452.697366816101</c:v>
                </c:pt>
                <c:pt idx="24">
                  <c:v>-11393.902949397299</c:v>
                </c:pt>
                <c:pt idx="25">
                  <c:v>27136.303431646957</c:v>
                </c:pt>
                <c:pt idx="26">
                  <c:v>3516.4608764270452</c:v>
                </c:pt>
                <c:pt idx="27">
                  <c:v>14610.482935785301</c:v>
                </c:pt>
                <c:pt idx="28">
                  <c:v>337.60188454891613</c:v>
                </c:pt>
                <c:pt idx="29">
                  <c:v>3250.2658341820643</c:v>
                </c:pt>
                <c:pt idx="30">
                  <c:v>-14331.061238098497</c:v>
                </c:pt>
                <c:pt idx="31">
                  <c:v>16556.053162502154</c:v>
                </c:pt>
                <c:pt idx="32">
                  <c:v>19553.930902356748</c:v>
                </c:pt>
                <c:pt idx="33">
                  <c:v>-17344.9069954968</c:v>
                </c:pt>
                <c:pt idx="34">
                  <c:v>24714.465807536064</c:v>
                </c:pt>
                <c:pt idx="35">
                  <c:v>14917.288846622512</c:v>
                </c:pt>
                <c:pt idx="36">
                  <c:v>-2564.7148087803507</c:v>
                </c:pt>
                <c:pt idx="37">
                  <c:v>19521.647680188471</c:v>
                </c:pt>
                <c:pt idx="38">
                  <c:v>-5779.0114592128666</c:v>
                </c:pt>
                <c:pt idx="39">
                  <c:v>33140.698385297175</c:v>
                </c:pt>
                <c:pt idx="40">
                  <c:v>-385.79007150130928</c:v>
                </c:pt>
                <c:pt idx="41">
                  <c:v>12365.364535745699</c:v>
                </c:pt>
                <c:pt idx="42">
                  <c:v>-22394.512000677321</c:v>
                </c:pt>
                <c:pt idx="43">
                  <c:v>-16382.626260139281</c:v>
                </c:pt>
                <c:pt idx="44">
                  <c:v>2623.3700377751957</c:v>
                </c:pt>
                <c:pt idx="45">
                  <c:v>-9083.5324847833836</c:v>
                </c:pt>
                <c:pt idx="46">
                  <c:v>-5949.1423134099168</c:v>
                </c:pt>
                <c:pt idx="47">
                  <c:v>-4087.1254502677475</c:v>
                </c:pt>
                <c:pt idx="48">
                  <c:v>4504.9221626948274</c:v>
                </c:pt>
                <c:pt idx="49">
                  <c:v>25989.658558127092</c:v>
                </c:pt>
                <c:pt idx="50">
                  <c:v>12250.286630763294</c:v>
                </c:pt>
                <c:pt idx="51">
                  <c:v>-874.66341010612086</c:v>
                </c:pt>
                <c:pt idx="52">
                  <c:v>-32555.908757095749</c:v>
                </c:pt>
                <c:pt idx="53">
                  <c:v>12987.537574351096</c:v>
                </c:pt>
                <c:pt idx="54">
                  <c:v>5420.9775967148016</c:v>
                </c:pt>
                <c:pt idx="55">
                  <c:v>24437.217124817602</c:v>
                </c:pt>
                <c:pt idx="56">
                  <c:v>-9501.7283797233249</c:v>
                </c:pt>
                <c:pt idx="57">
                  <c:v>-3550.4092359157512</c:v>
                </c:pt>
                <c:pt idx="58">
                  <c:v>-20613.609627431928</c:v>
                </c:pt>
                <c:pt idx="59">
                  <c:v>-2930.1917821787356</c:v>
                </c:pt>
                <c:pt idx="60">
                  <c:v>-5235.166280806734</c:v>
                </c:pt>
                <c:pt idx="61">
                  <c:v>1183.8425353636267</c:v>
                </c:pt>
                <c:pt idx="62">
                  <c:v>11096.769135962037</c:v>
                </c:pt>
                <c:pt idx="63">
                  <c:v>-14975.43890013374</c:v>
                </c:pt>
                <c:pt idx="64">
                  <c:v>6718.4535572731111</c:v>
                </c:pt>
                <c:pt idx="65">
                  <c:v>16555.601541748241</c:v>
                </c:pt>
                <c:pt idx="66">
                  <c:v>18277.014873023902</c:v>
                </c:pt>
                <c:pt idx="67">
                  <c:v>-10082.957004831434</c:v>
                </c:pt>
                <c:pt idx="68">
                  <c:v>4956.637408122333</c:v>
                </c:pt>
                <c:pt idx="69">
                  <c:v>-16285.340240568912</c:v>
                </c:pt>
                <c:pt idx="70">
                  <c:v>-22654.754455464426</c:v>
                </c:pt>
                <c:pt idx="71">
                  <c:v>5243.336691028002</c:v>
                </c:pt>
                <c:pt idx="72">
                  <c:v>-16377.834009011684</c:v>
                </c:pt>
                <c:pt idx="73">
                  <c:v>-13630.768054855915</c:v>
                </c:pt>
                <c:pt idx="74">
                  <c:v>-8379.2267237257038</c:v>
                </c:pt>
                <c:pt idx="75">
                  <c:v>18032.57958040986</c:v>
                </c:pt>
                <c:pt idx="76">
                  <c:v>11797.666809988979</c:v>
                </c:pt>
                <c:pt idx="77">
                  <c:v>33857.451066915848</c:v>
                </c:pt>
                <c:pt idx="78">
                  <c:v>6841.7167151305766</c:v>
                </c:pt>
                <c:pt idx="79">
                  <c:v>-12798.653275711316</c:v>
                </c:pt>
                <c:pt idx="80">
                  <c:v>29577.76939920694</c:v>
                </c:pt>
                <c:pt idx="81">
                  <c:v>6790.1251355689601</c:v>
                </c:pt>
                <c:pt idx="82">
                  <c:v>-10551.867883184372</c:v>
                </c:pt>
                <c:pt idx="83">
                  <c:v>11979.354929365509</c:v>
                </c:pt>
                <c:pt idx="84">
                  <c:v>48558.819495285657</c:v>
                </c:pt>
                <c:pt idx="85">
                  <c:v>5433.7142864438065</c:v>
                </c:pt>
                <c:pt idx="86">
                  <c:v>948.08349256237852</c:v>
                </c:pt>
                <c:pt idx="87">
                  <c:v>-11686.549738815433</c:v>
                </c:pt>
                <c:pt idx="88">
                  <c:v>-20671.986964812153</c:v>
                </c:pt>
                <c:pt idx="89">
                  <c:v>4987.69514463222</c:v>
                </c:pt>
                <c:pt idx="90">
                  <c:v>8290.050723106775</c:v>
                </c:pt>
                <c:pt idx="91">
                  <c:v>16096.533147266426</c:v>
                </c:pt>
                <c:pt idx="92">
                  <c:v>-42071.142524182505</c:v>
                </c:pt>
                <c:pt idx="93">
                  <c:v>-10873.756689543516</c:v>
                </c:pt>
                <c:pt idx="94">
                  <c:v>18959.808803074207</c:v>
                </c:pt>
                <c:pt idx="95">
                  <c:v>21610.440614865511</c:v>
                </c:pt>
                <c:pt idx="96">
                  <c:v>11920.891502117127</c:v>
                </c:pt>
                <c:pt idx="97">
                  <c:v>-10199.136141128809</c:v>
                </c:pt>
                <c:pt idx="98">
                  <c:v>-15072.501760467974</c:v>
                </c:pt>
                <c:pt idx="99">
                  <c:v>18691.813851985469</c:v>
                </c:pt>
                <c:pt idx="100">
                  <c:v>-9357.6115205766691</c:v>
                </c:pt>
                <c:pt idx="101">
                  <c:v>3763.0654764666397</c:v>
                </c:pt>
                <c:pt idx="102">
                  <c:v>-2221.1258982976142</c:v>
                </c:pt>
                <c:pt idx="103">
                  <c:v>1149.8811158382741</c:v>
                </c:pt>
                <c:pt idx="104">
                  <c:v>-4050.1076406801003</c:v>
                </c:pt>
                <c:pt idx="105">
                  <c:v>-14827.319720751024</c:v>
                </c:pt>
                <c:pt idx="106">
                  <c:v>-6032.7841559184599</c:v>
                </c:pt>
                <c:pt idx="107">
                  <c:v>15481.475790272874</c:v>
                </c:pt>
                <c:pt idx="108">
                  <c:v>-30662.389041768416</c:v>
                </c:pt>
                <c:pt idx="109">
                  <c:v>-18885.585934391565</c:v>
                </c:pt>
                <c:pt idx="110">
                  <c:v>23048.710130458669</c:v>
                </c:pt>
                <c:pt idx="111">
                  <c:v>-5045.0925956005231</c:v>
                </c:pt>
                <c:pt idx="112">
                  <c:v>14454.104688431922</c:v>
                </c:pt>
                <c:pt idx="113">
                  <c:v>-22284.388396542723</c:v>
                </c:pt>
                <c:pt idx="114">
                  <c:v>-10823.353757535166</c:v>
                </c:pt>
                <c:pt idx="115">
                  <c:v>20284.676114216476</c:v>
                </c:pt>
                <c:pt idx="116">
                  <c:v>-5338.9048165917047</c:v>
                </c:pt>
                <c:pt idx="117">
                  <c:v>-4633.1206694963912</c:v>
                </c:pt>
                <c:pt idx="118">
                  <c:v>18163.073990327655</c:v>
                </c:pt>
                <c:pt idx="119">
                  <c:v>12590.255694465654</c:v>
                </c:pt>
                <c:pt idx="120">
                  <c:v>-5289.6204537506856</c:v>
                </c:pt>
                <c:pt idx="121">
                  <c:v>21391.323268697568</c:v>
                </c:pt>
                <c:pt idx="122">
                  <c:v>5389.7512342832633</c:v>
                </c:pt>
                <c:pt idx="123">
                  <c:v>-10941.998226530646</c:v>
                </c:pt>
                <c:pt idx="124">
                  <c:v>19695.765657672106</c:v>
                </c:pt>
                <c:pt idx="125">
                  <c:v>-30775.496155877976</c:v>
                </c:pt>
                <c:pt idx="126">
                  <c:v>2554.0989897902473</c:v>
                </c:pt>
                <c:pt idx="127">
                  <c:v>20066.223328677908</c:v>
                </c:pt>
                <c:pt idx="128">
                  <c:v>25415.432619507221</c:v>
                </c:pt>
                <c:pt idx="129">
                  <c:v>-23372.789447505202</c:v>
                </c:pt>
                <c:pt idx="130">
                  <c:v>-23599.884201833716</c:v>
                </c:pt>
                <c:pt idx="131">
                  <c:v>-152.20174671767745</c:v>
                </c:pt>
                <c:pt idx="132">
                  <c:v>-4740.7361313203292</c:v>
                </c:pt>
                <c:pt idx="133">
                  <c:v>20952.644427684369</c:v>
                </c:pt>
                <c:pt idx="134">
                  <c:v>13412.376239955396</c:v>
                </c:pt>
                <c:pt idx="135">
                  <c:v>106.1788799802307</c:v>
                </c:pt>
                <c:pt idx="136">
                  <c:v>-11912.992112267209</c:v>
                </c:pt>
                <c:pt idx="137">
                  <c:v>-21752.309801655792</c:v>
                </c:pt>
                <c:pt idx="138">
                  <c:v>-11702.946636310837</c:v>
                </c:pt>
                <c:pt idx="139">
                  <c:v>2307.3964614130091</c:v>
                </c:pt>
                <c:pt idx="140">
                  <c:v>-10944.670509589225</c:v>
                </c:pt>
                <c:pt idx="141">
                  <c:v>-12676.418084194302</c:v>
                </c:pt>
                <c:pt idx="142">
                  <c:v>-605.31580151786329</c:v>
                </c:pt>
                <c:pt idx="143">
                  <c:v>-9454.166411455546</c:v>
                </c:pt>
                <c:pt idx="144">
                  <c:v>-39482.20008576414</c:v>
                </c:pt>
                <c:pt idx="145">
                  <c:v>-2598.5684006711672</c:v>
                </c:pt>
                <c:pt idx="146">
                  <c:v>14132.482623460717</c:v>
                </c:pt>
                <c:pt idx="147">
                  <c:v>-25758.120198971563</c:v>
                </c:pt>
                <c:pt idx="148">
                  <c:v>-6653.6313520373369</c:v>
                </c:pt>
                <c:pt idx="149">
                  <c:v>-33327.887142486361</c:v>
                </c:pt>
                <c:pt idx="150">
                  <c:v>4633.3482301243203</c:v>
                </c:pt>
                <c:pt idx="151">
                  <c:v>-2739.0965803337604</c:v>
                </c:pt>
                <c:pt idx="152">
                  <c:v>14867.381965200795</c:v>
                </c:pt>
                <c:pt idx="153">
                  <c:v>2760.0899712138053</c:v>
                </c:pt>
                <c:pt idx="154">
                  <c:v>486.84173388693307</c:v>
                </c:pt>
                <c:pt idx="155">
                  <c:v>-2939.42373860105</c:v>
                </c:pt>
                <c:pt idx="156">
                  <c:v>-14570.350226881739</c:v>
                </c:pt>
                <c:pt idx="157">
                  <c:v>7362.0058282584359</c:v>
                </c:pt>
                <c:pt idx="158">
                  <c:v>-26268.525047602932</c:v>
                </c:pt>
                <c:pt idx="159">
                  <c:v>-19493.515520072571</c:v>
                </c:pt>
                <c:pt idx="160">
                  <c:v>7552.0900859157773</c:v>
                </c:pt>
                <c:pt idx="161">
                  <c:v>8879.5019992322414</c:v>
                </c:pt>
                <c:pt idx="162">
                  <c:v>-17774.176819519169</c:v>
                </c:pt>
                <c:pt idx="163">
                  <c:v>-12489.621735368954</c:v>
                </c:pt>
                <c:pt idx="164">
                  <c:v>-3453.6882871580565</c:v>
                </c:pt>
                <c:pt idx="165">
                  <c:v>-6520.0898991088252</c:v>
                </c:pt>
                <c:pt idx="166">
                  <c:v>13382.366928166932</c:v>
                </c:pt>
                <c:pt idx="167">
                  <c:v>-2346.1651784866444</c:v>
                </c:pt>
                <c:pt idx="168">
                  <c:v>8904.4573585221078</c:v>
                </c:pt>
                <c:pt idx="169">
                  <c:v>-16978.299583226999</c:v>
                </c:pt>
                <c:pt idx="170">
                  <c:v>1600.5724179412064</c:v>
                </c:pt>
                <c:pt idx="171">
                  <c:v>8699.5561465354913</c:v>
                </c:pt>
                <c:pt idx="172">
                  <c:v>2982.0811214074165</c:v>
                </c:pt>
                <c:pt idx="173">
                  <c:v>-1169.0275733739982</c:v>
                </c:pt>
                <c:pt idx="174">
                  <c:v>9476.5223792804027</c:v>
                </c:pt>
                <c:pt idx="175">
                  <c:v>20512.18302991501</c:v>
                </c:pt>
                <c:pt idx="176">
                  <c:v>-19992.154851158979</c:v>
                </c:pt>
                <c:pt idx="177">
                  <c:v>15026.822986773564</c:v>
                </c:pt>
                <c:pt idx="178">
                  <c:v>-6195.187299920799</c:v>
                </c:pt>
                <c:pt idx="179">
                  <c:v>10186.781256086586</c:v>
                </c:pt>
                <c:pt idx="180">
                  <c:v>-1833.2729530344222</c:v>
                </c:pt>
                <c:pt idx="181">
                  <c:v>-18527.278206832845</c:v>
                </c:pt>
                <c:pt idx="182">
                  <c:v>13642.941146612196</c:v>
                </c:pt>
                <c:pt idx="183">
                  <c:v>-145.45656381812296</c:v>
                </c:pt>
                <c:pt idx="184">
                  <c:v>7992.4956641218523</c:v>
                </c:pt>
                <c:pt idx="185">
                  <c:v>10027.90977466746</c:v>
                </c:pt>
                <c:pt idx="186">
                  <c:v>-4186.4401977406378</c:v>
                </c:pt>
                <c:pt idx="187">
                  <c:v>-17187.126889731699</c:v>
                </c:pt>
                <c:pt idx="188">
                  <c:v>7415.4564145678087</c:v>
                </c:pt>
                <c:pt idx="189">
                  <c:v>-24609.626308788393</c:v>
                </c:pt>
                <c:pt idx="190">
                  <c:v>-3916.0880986769116</c:v>
                </c:pt>
                <c:pt idx="191">
                  <c:v>11264.889584440287</c:v>
                </c:pt>
                <c:pt idx="192">
                  <c:v>-6087.4427885190089</c:v>
                </c:pt>
                <c:pt idx="193">
                  <c:v>6110.0026813413351</c:v>
                </c:pt>
                <c:pt idx="194">
                  <c:v>9541.8104742776632</c:v>
                </c:pt>
                <c:pt idx="195">
                  <c:v>13833.472542823984</c:v>
                </c:pt>
                <c:pt idx="196">
                  <c:v>16482.666671307001</c:v>
                </c:pt>
                <c:pt idx="197">
                  <c:v>-8556.1815581034753</c:v>
                </c:pt>
                <c:pt idx="198">
                  <c:v>9032.6382221938693</c:v>
                </c:pt>
                <c:pt idx="199">
                  <c:v>18023.034581450614</c:v>
                </c:pt>
                <c:pt idx="200">
                  <c:v>3573.7123752509942</c:v>
                </c:pt>
                <c:pt idx="201">
                  <c:v>21740.84502457788</c:v>
                </c:pt>
                <c:pt idx="202">
                  <c:v>-4613.2445621418592</c:v>
                </c:pt>
                <c:pt idx="203">
                  <c:v>-12253.573646707548</c:v>
                </c:pt>
                <c:pt idx="204">
                  <c:v>-18145.875006834467</c:v>
                </c:pt>
                <c:pt idx="205">
                  <c:v>4661.2104096426774</c:v>
                </c:pt>
                <c:pt idx="206">
                  <c:v>34897.32584937186</c:v>
                </c:pt>
                <c:pt idx="207">
                  <c:v>-710.010989193368</c:v>
                </c:pt>
                <c:pt idx="208">
                  <c:v>-2197.6577441635891</c:v>
                </c:pt>
                <c:pt idx="209">
                  <c:v>19778.818321166938</c:v>
                </c:pt>
                <c:pt idx="210">
                  <c:v>9453.7541028643027</c:v>
                </c:pt>
                <c:pt idx="211">
                  <c:v>22876.618825092126</c:v>
                </c:pt>
                <c:pt idx="212">
                  <c:v>-2000.8993900347559</c:v>
                </c:pt>
                <c:pt idx="213">
                  <c:v>1126.5254983321356</c:v>
                </c:pt>
                <c:pt idx="214">
                  <c:v>15691.955994235934</c:v>
                </c:pt>
                <c:pt idx="215">
                  <c:v>9687.2740204902657</c:v>
                </c:pt>
                <c:pt idx="216">
                  <c:v>2446.8827457998414</c:v>
                </c:pt>
                <c:pt idx="217">
                  <c:v>15306.838892861793</c:v>
                </c:pt>
                <c:pt idx="218">
                  <c:v>11604.746690052416</c:v>
                </c:pt>
                <c:pt idx="219">
                  <c:v>18153.648826358898</c:v>
                </c:pt>
                <c:pt idx="220">
                  <c:v>-17622.767187454971</c:v>
                </c:pt>
                <c:pt idx="221">
                  <c:v>-23630.197649423062</c:v>
                </c:pt>
                <c:pt idx="222">
                  <c:v>-7968.2979548306321</c:v>
                </c:pt>
                <c:pt idx="223">
                  <c:v>957.65653506928356</c:v>
                </c:pt>
                <c:pt idx="224">
                  <c:v>2080.6592909525789</c:v>
                </c:pt>
                <c:pt idx="225">
                  <c:v>24119.646834118379</c:v>
                </c:pt>
                <c:pt idx="226">
                  <c:v>28406.329251866089</c:v>
                </c:pt>
                <c:pt idx="227">
                  <c:v>22700.528445086267</c:v>
                </c:pt>
                <c:pt idx="228">
                  <c:v>7527.6539885987877</c:v>
                </c:pt>
                <c:pt idx="229">
                  <c:v>-609.11428315390367</c:v>
                </c:pt>
                <c:pt idx="230">
                  <c:v>212.32523795875022</c:v>
                </c:pt>
                <c:pt idx="231">
                  <c:v>12495.42369068478</c:v>
                </c:pt>
                <c:pt idx="232">
                  <c:v>-35793.954511596297</c:v>
                </c:pt>
                <c:pt idx="233">
                  <c:v>19118.171965844231</c:v>
                </c:pt>
                <c:pt idx="234">
                  <c:v>-12591.01634451159</c:v>
                </c:pt>
                <c:pt idx="235">
                  <c:v>-25367.045637430245</c:v>
                </c:pt>
                <c:pt idx="236">
                  <c:v>-3565.1021035201557</c:v>
                </c:pt>
                <c:pt idx="237">
                  <c:v>-25224.741625502822</c:v>
                </c:pt>
                <c:pt idx="238">
                  <c:v>-4617.3620162922016</c:v>
                </c:pt>
                <c:pt idx="239">
                  <c:v>-30592.33169641858</c:v>
                </c:pt>
                <c:pt idx="240">
                  <c:v>7487.320269377582</c:v>
                </c:pt>
                <c:pt idx="241">
                  <c:v>11558.808472673263</c:v>
                </c:pt>
                <c:pt idx="242">
                  <c:v>-16174.347807771002</c:v>
                </c:pt>
                <c:pt idx="243">
                  <c:v>14327.634435783781</c:v>
                </c:pt>
                <c:pt idx="244">
                  <c:v>6749.5080440051097</c:v>
                </c:pt>
                <c:pt idx="245">
                  <c:v>14234.499218353856</c:v>
                </c:pt>
                <c:pt idx="246">
                  <c:v>13257.365455921215</c:v>
                </c:pt>
                <c:pt idx="247">
                  <c:v>7510.1904042373935</c:v>
                </c:pt>
                <c:pt idx="248">
                  <c:v>16567.172839980049</c:v>
                </c:pt>
                <c:pt idx="249">
                  <c:v>-8966.68821106627</c:v>
                </c:pt>
                <c:pt idx="250">
                  <c:v>-16094.174928244785</c:v>
                </c:pt>
                <c:pt idx="251">
                  <c:v>27189.965574499452</c:v>
                </c:pt>
                <c:pt idx="252">
                  <c:v>-1158.4234546366206</c:v>
                </c:pt>
              </c:numCache>
            </c:numRef>
          </c:val>
          <c:extLst>
            <c:ext xmlns:c16="http://schemas.microsoft.com/office/drawing/2014/chart" uri="{C3380CC4-5D6E-409C-BE32-E72D297353CC}">
              <c16:uniqueId val="{00000000-75D4-4717-A75E-7325CC502DB0}"/>
            </c:ext>
          </c:extLst>
        </c:ser>
        <c:dLbls>
          <c:showLegendKey val="0"/>
          <c:showVal val="0"/>
          <c:showCatName val="0"/>
          <c:showSerName val="0"/>
          <c:showPercent val="0"/>
          <c:showBubbleSize val="0"/>
        </c:dLbls>
        <c:gapWidth val="150"/>
        <c:axId val="1573360256"/>
        <c:axId val="1573365536"/>
      </c:barChart>
      <c:catAx>
        <c:axId val="1573360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Simulation Day</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5536"/>
        <c:crosses val="autoZero"/>
        <c:auto val="1"/>
        <c:lblAlgn val="ctr"/>
        <c:lblOffset val="100"/>
        <c:tickLblSkip val="50"/>
        <c:tickMarkSkip val="50"/>
        <c:noMultiLvlLbl val="0"/>
      </c:catAx>
      <c:valAx>
        <c:axId val="157336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Margin Call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02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kern="1200" spc="0" baseline="0">
                <a:solidFill>
                  <a:srgbClr val="0B2F4A"/>
                </a:solidFill>
              </a:rPr>
              <a:t>Initial margin vs MPor</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'Sensitivity Analysis'!$O$9</c:f>
              <c:strCache>
                <c:ptCount val="1"/>
                <c:pt idx="0">
                  <c:v>Initial Margin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'Sensitivity Analysis'!$K$10:$K$13</c:f>
              <c:numCache>
                <c:formatCode>General</c:formatCode>
                <c:ptCount val="4"/>
                <c:pt idx="0">
                  <c:v>5</c:v>
                </c:pt>
                <c:pt idx="1">
                  <c:v>10</c:v>
                </c:pt>
                <c:pt idx="2">
                  <c:v>20</c:v>
                </c:pt>
                <c:pt idx="3">
                  <c:v>30</c:v>
                </c:pt>
              </c:numCache>
            </c:numRef>
          </c:xVal>
          <c:yVal>
            <c:numRef>
              <c:f>'Sensitivity Analysis'!$O$10:$O$13</c:f>
              <c:numCache>
                <c:formatCode>General</c:formatCode>
                <c:ptCount val="4"/>
                <c:pt idx="0">
                  <c:v>80810.347968448972</c:v>
                </c:pt>
                <c:pt idx="1">
                  <c:v>114283.09007706963</c:v>
                </c:pt>
                <c:pt idx="2">
                  <c:v>161620.69593689794</c:v>
                </c:pt>
                <c:pt idx="3">
                  <c:v>197944.1184594552</c:v>
                </c:pt>
              </c:numCache>
            </c:numRef>
          </c:yVal>
          <c:smooth val="0"/>
          <c:extLst>
            <c:ext xmlns:c16="http://schemas.microsoft.com/office/drawing/2014/chart" uri="{C3380CC4-5D6E-409C-BE32-E72D297353CC}">
              <c16:uniqueId val="{00000000-2E95-44E7-A4AB-BFA86FDD3A84}"/>
            </c:ext>
          </c:extLst>
        </c:ser>
        <c:dLbls>
          <c:showLegendKey val="0"/>
          <c:showVal val="0"/>
          <c:showCatName val="0"/>
          <c:showSerName val="0"/>
          <c:showPercent val="0"/>
          <c:showBubbleSize val="0"/>
        </c:dLbls>
        <c:axId val="1184863760"/>
        <c:axId val="1184864720"/>
      </c:scatterChart>
      <c:valAx>
        <c:axId val="1184863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Margin Period of Risk (days)</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4720"/>
        <c:crosses val="autoZero"/>
        <c:crossBetween val="midCat"/>
      </c:valAx>
      <c:valAx>
        <c:axId val="118486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Initial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3760"/>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581025</xdr:colOff>
      <xdr:row>5</xdr:row>
      <xdr:rowOff>57149</xdr:rowOff>
    </xdr:from>
    <xdr:to>
      <xdr:col>16</xdr:col>
      <xdr:colOff>371475</xdr:colOff>
      <xdr:row>44</xdr:row>
      <xdr:rowOff>95250</xdr:rowOff>
    </xdr:to>
    <xdr:sp macro="" textlink="">
      <xdr:nvSpPr>
        <xdr:cNvPr id="2" name="TextBox 1">
          <a:extLst>
            <a:ext uri="{FF2B5EF4-FFF2-40B4-BE49-F238E27FC236}">
              <a16:creationId xmlns:a16="http://schemas.microsoft.com/office/drawing/2014/main" id="{8340E1D4-B591-B27E-D419-61D8FA4D08FD}"/>
            </a:ext>
          </a:extLst>
        </xdr:cNvPr>
        <xdr:cNvSpPr txBox="1"/>
      </xdr:nvSpPr>
      <xdr:spPr>
        <a:xfrm>
          <a:off x="2417989" y="1091292"/>
          <a:ext cx="7750629" cy="746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Objective</a:t>
          </a:r>
          <a:br>
            <a:rPr lang="es-ES"/>
          </a:br>
          <a:br>
            <a:rPr lang="es-ES"/>
          </a:br>
          <a:r>
            <a:rPr lang="es-ES"/>
            <a:t>The objective of this project is to better understand how collateral and margining mechanisms work in OTC derivatives. In particular, the project focuses on counterparty risk, variation margin, initial margin and the liquidity pressure that may arise when collateral has to be posted under stressed market conditions.</a:t>
          </a:r>
          <a:br>
            <a:rPr lang="es-ES"/>
          </a:br>
          <a:br>
            <a:rPr lang="es-ES"/>
          </a:br>
          <a:r>
            <a:rPr lang="es-ES"/>
            <a:t>Collateral is designed to reduce counterparty risk by limiting the accumulation of unpaid exposures. However, as seen during periods of market stress, margin calls can also create liquidity pressure. This project therefore explores both sides of collateralisation: its role as a protection mechanism and its potential cost in terms of liquidity.</a:t>
          </a:r>
          <a:br>
            <a:rPr lang="es-ES"/>
          </a:br>
          <a:br>
            <a:rPr lang="es-ES"/>
          </a:br>
          <a:r>
            <a:rPr lang="es-ES" b="1"/>
            <a:t>Hypothesis</a:t>
          </a:r>
          <a:br>
            <a:rPr lang="es-ES"/>
          </a:br>
          <a:br>
            <a:rPr lang="es-ES"/>
          </a:br>
          <a:r>
            <a:rPr lang="es-ES"/>
            <a:t>The central hypothesis of this project is that collateral reduces counterparty credit risk, but does not eliminate risk entirely. Instead, part of the risk may be transformed into liquidity risk, especially when market volatility increases and margin calls become larger or more frequent.</a:t>
          </a:r>
          <a:br>
            <a:rPr lang="es-ES"/>
          </a:br>
          <a:br>
            <a:rPr lang="es-ES"/>
          </a:br>
          <a:r>
            <a:rPr lang="es-ES"/>
            <a:t>To test this idea, the project builds a simplified simulation of an OTC forward contract. The model analyses how the value of the derivative evolves, how daily variation margin is exchanged, how initial margin can be estimated and what happens if a counterparty defaults during the life of the trade.</a:t>
          </a:r>
          <a:br>
            <a:rPr lang="es-ES"/>
          </a:br>
          <a:br>
            <a:rPr lang="es-ES" b="1"/>
          </a:br>
          <a:r>
            <a:rPr lang="es-ES" b="1"/>
            <a:t>Key Question</a:t>
          </a:r>
          <a:br>
            <a:rPr lang="es-ES" b="1"/>
          </a:br>
          <a:br>
            <a:rPr lang="es-ES"/>
          </a:br>
          <a:r>
            <a:rPr lang="es-ES"/>
            <a:t>Does collateral fully protect against counterparty risk, or does it partly transform that risk into liquidity pressure through margin calls?</a:t>
          </a:r>
          <a:br>
            <a:rPr lang="es-ES"/>
          </a:br>
          <a:br>
            <a:rPr lang="es-ES"/>
          </a:br>
          <a:r>
            <a:rPr lang="es-ES" b="1"/>
            <a:t>Simulation Framework</a:t>
          </a:r>
        </a:p>
        <a:p>
          <a:br>
            <a:rPr lang="es-ES"/>
          </a:br>
          <a:r>
            <a:rPr lang="es-ES"/>
            <a:t>The project simulates:</a:t>
          </a:r>
          <a:br>
            <a:rPr lang="es-ES"/>
          </a:br>
          <a:br>
            <a:rPr lang="es-ES"/>
          </a:br>
          <a:r>
            <a:rPr lang="es-ES"/>
            <a:t>An underlying asset price path</a:t>
          </a:r>
          <a:br>
            <a:rPr lang="es-ES"/>
          </a:br>
          <a:r>
            <a:rPr lang="es-ES"/>
            <a:t>The mark-to-market value of a simplified forward contract</a:t>
          </a:r>
          <a:br>
            <a:rPr lang="es-ES"/>
          </a:br>
          <a:r>
            <a:rPr lang="es-ES"/>
            <a:t>Daily variation margin flows</a:t>
          </a:r>
          <a:br>
            <a:rPr lang="es-ES"/>
          </a:br>
          <a:r>
            <a:rPr lang="es-ES"/>
            <a:t>Initial margin as a collateral buffer</a:t>
          </a:r>
          <a:br>
            <a:rPr lang="es-ES"/>
          </a:br>
          <a:r>
            <a:rPr lang="es-ES"/>
            <a:t>A counterparty default scenario during the Margin Period of Risk</a:t>
          </a:r>
          <a:br>
            <a:rPr lang="es-ES"/>
          </a:br>
          <a:r>
            <a:rPr lang="es-ES"/>
            <a:t>The impact of volatility and margin assumptions on collateral requirements</a:t>
          </a:r>
          <a:br>
            <a:rPr lang="es-ES"/>
          </a:br>
          <a:br>
            <a:rPr lang="es-ES"/>
          </a:br>
          <a:r>
            <a:rPr lang="es-ES" b="1"/>
            <a:t>Final Outputs:</a:t>
          </a:r>
          <a:br>
            <a:rPr lang="es-ES"/>
          </a:br>
          <a:br>
            <a:rPr lang="es-ES"/>
          </a:br>
          <a:r>
            <a:rPr lang="es-ES"/>
            <a:t>The project includes:</a:t>
          </a:r>
          <a:br>
            <a:rPr lang="es-ES"/>
          </a:br>
          <a:r>
            <a:rPr lang="es-ES"/>
            <a:t>An Excel-based simulation and dashboard</a:t>
          </a:r>
          <a:br>
            <a:rPr lang="es-ES"/>
          </a:br>
          <a:r>
            <a:rPr lang="es-ES"/>
            <a:t>A Python version of the model</a:t>
          </a:r>
          <a:br>
            <a:rPr lang="es-ES"/>
          </a:br>
          <a:r>
            <a:rPr lang="es-ES"/>
            <a:t>Explanatory charts and tables</a:t>
          </a:r>
          <a:br>
            <a:rPr lang="es-ES"/>
          </a:br>
          <a:r>
            <a:rPr lang="es-ES"/>
            <a:t>A short article for LinkedIn or a personal blog</a:t>
          </a:r>
          <a:br>
            <a:rPr lang="es-ES"/>
          </a:br>
          <a:r>
            <a:rPr lang="es-ES"/>
            <a:t>A GitHub repository containing the model, documentation and main insights</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11</xdr:col>
      <xdr:colOff>771525</xdr:colOff>
      <xdr:row>3</xdr:row>
      <xdr:rowOff>276225</xdr:rowOff>
    </xdr:to>
    <xdr:sp macro="" textlink="">
      <xdr:nvSpPr>
        <xdr:cNvPr id="2" name="TextBox 1">
          <a:extLst>
            <a:ext uri="{FF2B5EF4-FFF2-40B4-BE49-F238E27FC236}">
              <a16:creationId xmlns:a16="http://schemas.microsoft.com/office/drawing/2014/main" id="{292FBEFC-7FBB-4BBE-B503-3775C5983148}"/>
            </a:ext>
          </a:extLst>
        </xdr:cNvPr>
        <xdr:cNvSpPr txBox="1"/>
      </xdr:nvSpPr>
      <xdr:spPr>
        <a:xfrm>
          <a:off x="19050" y="28575"/>
          <a:ext cx="137350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Inputs</a:t>
          </a:r>
          <a:endParaRPr lang="es-ES"/>
        </a:p>
        <a:p>
          <a:r>
            <a:rPr lang="es-ES"/>
            <a:t>In this section, we define the key assumptions that will be used throughout the simulation. </a:t>
          </a:r>
        </a:p>
        <a:p>
          <a:r>
            <a:rPr lang="es-ES"/>
            <a:t>These inputs represent the environment in which the model operates and determine how the underlying asset evolves, how the derivative is valued, and how the margining system behaves.</a:t>
          </a:r>
        </a:p>
        <a:p>
          <a:r>
            <a:rPr lang="es-ES"/>
            <a:t>We specify parameters related to the market, such as the initial price of the underlying asset, its volatility, and the time horizon of the simulation. In addition, we define the characteristics of the derivative position, including its notional size and general structure.</a:t>
          </a:r>
        </a:p>
        <a:p>
          <a:r>
            <a:rPr lang="es-ES"/>
            <a:t>Finally, we introduce the key parameters of the collateral framework, such as the confidence level used to estimate the initial margin and the margin period of risk. These elements will allow us to analyse how variation margin and initial margin interact under different market conditions.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49866</xdr:colOff>
      <xdr:row>3</xdr:row>
      <xdr:rowOff>21011</xdr:rowOff>
    </xdr:from>
    <xdr:to>
      <xdr:col>3</xdr:col>
      <xdr:colOff>930088</xdr:colOff>
      <xdr:row>7</xdr:row>
      <xdr:rowOff>54349</xdr:rowOff>
    </xdr:to>
    <xdr:sp macro="" textlink="">
      <xdr:nvSpPr>
        <xdr:cNvPr id="2" name="TextBox 1">
          <a:extLst>
            <a:ext uri="{FF2B5EF4-FFF2-40B4-BE49-F238E27FC236}">
              <a16:creationId xmlns:a16="http://schemas.microsoft.com/office/drawing/2014/main" id="{7F676ADC-298C-D995-1127-E8A60DB48458}"/>
            </a:ext>
          </a:extLst>
        </xdr:cNvPr>
        <xdr:cNvSpPr txBox="1"/>
      </xdr:nvSpPr>
      <xdr:spPr>
        <a:xfrm>
          <a:off x="49866" y="592511"/>
          <a:ext cx="4208369" cy="7953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simulates the daily evolution of the underlying asset price. The simulated path will later be used to calculate the mark-to-market value of the derivative, the daily variation margin and the potential loss during a default scenario.</a:t>
          </a:r>
        </a:p>
      </xdr:txBody>
    </xdr:sp>
    <xdr:clientData/>
  </xdr:twoCellAnchor>
  <xdr:twoCellAnchor>
    <xdr:from>
      <xdr:col>3</xdr:col>
      <xdr:colOff>953989</xdr:colOff>
      <xdr:row>1</xdr:row>
      <xdr:rowOff>100853</xdr:rowOff>
    </xdr:from>
    <xdr:to>
      <xdr:col>6</xdr:col>
      <xdr:colOff>145677</xdr:colOff>
      <xdr:row>9</xdr:row>
      <xdr:rowOff>128028</xdr:rowOff>
    </xdr:to>
    <xdr:cxnSp macro="">
      <xdr:nvCxnSpPr>
        <xdr:cNvPr id="16" name="Connector: Curved 15">
          <a:extLst>
            <a:ext uri="{FF2B5EF4-FFF2-40B4-BE49-F238E27FC236}">
              <a16:creationId xmlns:a16="http://schemas.microsoft.com/office/drawing/2014/main" id="{B41D2317-0D08-B4A3-AD02-FEC47AC2B6B2}"/>
            </a:ext>
          </a:extLst>
        </xdr:cNvPr>
        <xdr:cNvCxnSpPr>
          <a:cxnSpLocks/>
        </xdr:cNvCxnSpPr>
      </xdr:nvCxnSpPr>
      <xdr:spPr>
        <a:xfrm flipV="1">
          <a:off x="4282136" y="291353"/>
          <a:ext cx="2676717" cy="1551175"/>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958632</xdr:colOff>
      <xdr:row>1</xdr:row>
      <xdr:rowOff>112059</xdr:rowOff>
    </xdr:from>
    <xdr:to>
      <xdr:col>7</xdr:col>
      <xdr:colOff>78441</xdr:colOff>
      <xdr:row>16</xdr:row>
      <xdr:rowOff>3923</xdr:rowOff>
    </xdr:to>
    <xdr:cxnSp macro="">
      <xdr:nvCxnSpPr>
        <xdr:cNvPr id="19" name="Connector: Curved 18">
          <a:extLst>
            <a:ext uri="{FF2B5EF4-FFF2-40B4-BE49-F238E27FC236}">
              <a16:creationId xmlns:a16="http://schemas.microsoft.com/office/drawing/2014/main" id="{A351B75B-6E9C-4298-A146-C03D889A16BF}"/>
            </a:ext>
          </a:extLst>
        </xdr:cNvPr>
        <xdr:cNvCxnSpPr>
          <a:cxnSpLocks/>
        </xdr:cNvCxnSpPr>
      </xdr:nvCxnSpPr>
      <xdr:spPr>
        <a:xfrm flipV="1">
          <a:off x="4286779" y="302559"/>
          <a:ext cx="3714221" cy="2749364"/>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481853</xdr:colOff>
      <xdr:row>1</xdr:row>
      <xdr:rowOff>56030</xdr:rowOff>
    </xdr:from>
    <xdr:to>
      <xdr:col>15</xdr:col>
      <xdr:colOff>56029</xdr:colOff>
      <xdr:row>24</xdr:row>
      <xdr:rowOff>156882</xdr:rowOff>
    </xdr:to>
    <xdr:graphicFrame macro="">
      <xdr:nvGraphicFramePr>
        <xdr:cNvPr id="22" name="Chart 21">
          <a:extLst>
            <a:ext uri="{FF2B5EF4-FFF2-40B4-BE49-F238E27FC236}">
              <a16:creationId xmlns:a16="http://schemas.microsoft.com/office/drawing/2014/main" id="{163B8868-2CA0-4F68-B4A9-3830EECFB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124809</xdr:rowOff>
    </xdr:from>
    <xdr:to>
      <xdr:col>3</xdr:col>
      <xdr:colOff>821120</xdr:colOff>
      <xdr:row>11</xdr:row>
      <xdr:rowOff>118240</xdr:rowOff>
    </xdr:to>
    <xdr:sp macro="" textlink="">
      <xdr:nvSpPr>
        <xdr:cNvPr id="31" name="TextBox 30">
          <a:extLst>
            <a:ext uri="{FF2B5EF4-FFF2-40B4-BE49-F238E27FC236}">
              <a16:creationId xmlns:a16="http://schemas.microsoft.com/office/drawing/2014/main" id="{EA70B6F5-CCDF-2312-A0F6-D218EFC6F226}"/>
            </a:ext>
          </a:extLst>
        </xdr:cNvPr>
        <xdr:cNvSpPr txBox="1"/>
      </xdr:nvSpPr>
      <xdr:spPr>
        <a:xfrm>
          <a:off x="0" y="1458309"/>
          <a:ext cx="4171292" cy="755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formula simulates the price of an asset using Geometric Brownian Motion, which is a classic model for simulating financial prices.</a:t>
          </a:r>
        </a:p>
      </xdr:txBody>
    </xdr:sp>
    <xdr:clientData/>
  </xdr:twoCellAnchor>
  <xdr:twoCellAnchor editAs="oneCell">
    <xdr:from>
      <xdr:col>1</xdr:col>
      <xdr:colOff>98534</xdr:colOff>
      <xdr:row>9</xdr:row>
      <xdr:rowOff>130859</xdr:rowOff>
    </xdr:from>
    <xdr:to>
      <xdr:col>2</xdr:col>
      <xdr:colOff>932793</xdr:colOff>
      <xdr:row>11</xdr:row>
      <xdr:rowOff>78519</xdr:rowOff>
    </xdr:to>
    <xdr:pic>
      <xdr:nvPicPr>
        <xdr:cNvPr id="30" name="Picture 29">
          <a:extLst>
            <a:ext uri="{FF2B5EF4-FFF2-40B4-BE49-F238E27FC236}">
              <a16:creationId xmlns:a16="http://schemas.microsoft.com/office/drawing/2014/main" id="{C5619660-D3D7-2E88-B57C-606E31CACF06}"/>
            </a:ext>
          </a:extLst>
        </xdr:cNvPr>
        <xdr:cNvPicPr>
          <a:picLocks noChangeAspect="1"/>
        </xdr:cNvPicPr>
      </xdr:nvPicPr>
      <xdr:blipFill>
        <a:blip xmlns:r="http://schemas.openxmlformats.org/officeDocument/2006/relationships" r:embed="rId2"/>
        <a:stretch>
          <a:fillRect/>
        </a:stretch>
      </xdr:blipFill>
      <xdr:spPr>
        <a:xfrm>
          <a:off x="1215258" y="1845359"/>
          <a:ext cx="1950983" cy="328660"/>
        </a:xfrm>
        <a:prstGeom prst="rect">
          <a:avLst/>
        </a:prstGeom>
      </xdr:spPr>
    </xdr:pic>
    <xdr:clientData/>
  </xdr:twoCellAnchor>
  <xdr:twoCellAnchor>
    <xdr:from>
      <xdr:col>0</xdr:col>
      <xdr:colOff>0</xdr:colOff>
      <xdr:row>12</xdr:row>
      <xdr:rowOff>98535</xdr:rowOff>
    </xdr:from>
    <xdr:to>
      <xdr:col>3</xdr:col>
      <xdr:colOff>926224</xdr:colOff>
      <xdr:row>25</xdr:row>
      <xdr:rowOff>13139</xdr:rowOff>
    </xdr:to>
    <xdr:sp macro="" textlink="">
      <xdr:nvSpPr>
        <xdr:cNvPr id="32" name="TextBox 31">
          <a:extLst>
            <a:ext uri="{FF2B5EF4-FFF2-40B4-BE49-F238E27FC236}">
              <a16:creationId xmlns:a16="http://schemas.microsoft.com/office/drawing/2014/main" id="{7D048BA2-1A6A-D100-C333-A794A64D4666}"/>
            </a:ext>
          </a:extLst>
        </xdr:cNvPr>
        <xdr:cNvSpPr txBox="1"/>
      </xdr:nvSpPr>
      <xdr:spPr>
        <a:xfrm>
          <a:off x="0" y="2384535"/>
          <a:ext cx="4276396" cy="2391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new price = yesterday's price × e^(daily return)</a:t>
          </a:r>
        </a:p>
        <a:p>
          <a:endParaRPr lang="es-ES" sz="1100"/>
        </a:p>
        <a:p>
          <a:r>
            <a:rPr lang="es-ES" sz="1100"/>
            <a:t>In this example:</a:t>
          </a:r>
        </a:p>
        <a:p>
          <a:r>
            <a:rPr lang="es-ES" sz="1100"/>
            <a:t>D11 = yesterday's price, for example 100</a:t>
          </a:r>
        </a:p>
        <a:p>
          <a:r>
            <a:rPr lang="es-ES" sz="1100"/>
            <a:t>C12 = simulated daily return, for example 0.000529</a:t>
          </a:r>
        </a:p>
        <a:p>
          <a:r>
            <a:rPr lang="es-ES" sz="1100"/>
            <a:t>EXP(C12) = e^0.000529 </a:t>
          </a:r>
        </a:p>
        <a:p>
          <a:r>
            <a:rPr lang="es-ES" sz="1100"/>
            <a:t>D12 = new asset price</a:t>
          </a:r>
        </a:p>
        <a:p>
          <a:r>
            <a:rPr lang="es-ES" sz="1100"/>
            <a:t>The idea is that the price is not updated by adding the return, but by multiplying by the exponential of the return.</a:t>
          </a:r>
        </a:p>
        <a:p>
          <a:endParaRPr lang="es-ES" sz="1100"/>
        </a:p>
        <a:p>
          <a:endParaRPr lang="es-ES" sz="1100"/>
        </a:p>
      </xdr:txBody>
    </xdr:sp>
    <xdr:clientData/>
  </xdr:twoCellAnchor>
  <xdr:twoCellAnchor editAs="oneCell">
    <xdr:from>
      <xdr:col>0</xdr:col>
      <xdr:colOff>906517</xdr:colOff>
      <xdr:row>21</xdr:row>
      <xdr:rowOff>118243</xdr:rowOff>
    </xdr:from>
    <xdr:to>
      <xdr:col>2</xdr:col>
      <xdr:colOff>104787</xdr:colOff>
      <xdr:row>23</xdr:row>
      <xdr:rowOff>91967</xdr:rowOff>
    </xdr:to>
    <xdr:pic>
      <xdr:nvPicPr>
        <xdr:cNvPr id="33" name="Picture 32">
          <a:extLst>
            <a:ext uri="{FF2B5EF4-FFF2-40B4-BE49-F238E27FC236}">
              <a16:creationId xmlns:a16="http://schemas.microsoft.com/office/drawing/2014/main" id="{3EF26A3B-A58F-0157-9975-50C85D03198E}"/>
            </a:ext>
          </a:extLst>
        </xdr:cNvPr>
        <xdr:cNvPicPr>
          <a:picLocks noChangeAspect="1"/>
        </xdr:cNvPicPr>
      </xdr:nvPicPr>
      <xdr:blipFill>
        <a:blip xmlns:r="http://schemas.openxmlformats.org/officeDocument/2006/relationships" r:embed="rId3"/>
        <a:stretch>
          <a:fillRect/>
        </a:stretch>
      </xdr:blipFill>
      <xdr:spPr>
        <a:xfrm>
          <a:off x="906517" y="4118743"/>
          <a:ext cx="1431718" cy="3547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145677</xdr:colOff>
      <xdr:row>4</xdr:row>
      <xdr:rowOff>98612</xdr:rowOff>
    </xdr:from>
    <xdr:to>
      <xdr:col>5</xdr:col>
      <xdr:colOff>634351</xdr:colOff>
      <xdr:row>8</xdr:row>
      <xdr:rowOff>163216</xdr:rowOff>
    </xdr:to>
    <xdr:sp macro="" textlink="">
      <xdr:nvSpPr>
        <xdr:cNvPr id="2" name="TextBox 1">
          <a:extLst>
            <a:ext uri="{FF2B5EF4-FFF2-40B4-BE49-F238E27FC236}">
              <a16:creationId xmlns:a16="http://schemas.microsoft.com/office/drawing/2014/main" id="{A39FF9B0-54E5-E0D9-6C21-1BF7C6A1942A}"/>
            </a:ext>
          </a:extLst>
        </xdr:cNvPr>
        <xdr:cNvSpPr txBox="1"/>
      </xdr:nvSpPr>
      <xdr:spPr>
        <a:xfrm>
          <a:off x="145677" y="860612"/>
          <a:ext cx="5363233" cy="826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calculates the daily mark-to-market value of a simplified forward contract and the corresponding variation margin. The mark-to-market represents the current value of the derivative position, while the variation margin reflects the daily collateral exchanged to offset changes in that value.</a:t>
          </a:r>
        </a:p>
      </xdr:txBody>
    </xdr:sp>
    <xdr:clientData/>
  </xdr:twoCellAnchor>
  <xdr:twoCellAnchor>
    <xdr:from>
      <xdr:col>12</xdr:col>
      <xdr:colOff>502023</xdr:colOff>
      <xdr:row>15</xdr:row>
      <xdr:rowOff>73397</xdr:rowOff>
    </xdr:from>
    <xdr:to>
      <xdr:col>20</xdr:col>
      <xdr:colOff>291353</xdr:colOff>
      <xdr:row>33</xdr:row>
      <xdr:rowOff>78440</xdr:rowOff>
    </xdr:to>
    <xdr:graphicFrame macro="">
      <xdr:nvGraphicFramePr>
        <xdr:cNvPr id="12" name="Chart 11">
          <a:extLst>
            <a:ext uri="{FF2B5EF4-FFF2-40B4-BE49-F238E27FC236}">
              <a16:creationId xmlns:a16="http://schemas.microsoft.com/office/drawing/2014/main" id="{5DA32525-BF76-4338-A70B-A5FA1A203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425823</xdr:colOff>
      <xdr:row>1</xdr:row>
      <xdr:rowOff>105896</xdr:rowOff>
    </xdr:from>
    <xdr:to>
      <xdr:col>20</xdr:col>
      <xdr:colOff>340098</xdr:colOff>
      <xdr:row>14</xdr:row>
      <xdr:rowOff>163046</xdr:rowOff>
    </xdr:to>
    <xdr:graphicFrame macro="">
      <xdr:nvGraphicFramePr>
        <xdr:cNvPr id="14" name="Chart 13">
          <a:extLst>
            <a:ext uri="{FF2B5EF4-FFF2-40B4-BE49-F238E27FC236}">
              <a16:creationId xmlns:a16="http://schemas.microsoft.com/office/drawing/2014/main" id="{1B01AC9A-946E-4E37-A74C-117635D7F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481853</xdr:colOff>
      <xdr:row>1</xdr:row>
      <xdr:rowOff>107674</xdr:rowOff>
    </xdr:from>
    <xdr:to>
      <xdr:col>9</xdr:col>
      <xdr:colOff>107674</xdr:colOff>
      <xdr:row>17</xdr:row>
      <xdr:rowOff>11206</xdr:rowOff>
    </xdr:to>
    <xdr:cxnSp macro="">
      <xdr:nvCxnSpPr>
        <xdr:cNvPr id="17" name="Connector: Curved 16">
          <a:extLst>
            <a:ext uri="{FF2B5EF4-FFF2-40B4-BE49-F238E27FC236}">
              <a16:creationId xmlns:a16="http://schemas.microsoft.com/office/drawing/2014/main" id="{FBE0A25D-C13B-A59A-21BF-F83007976F23}"/>
            </a:ext>
          </a:extLst>
        </xdr:cNvPr>
        <xdr:cNvCxnSpPr>
          <a:cxnSpLocks/>
        </xdr:cNvCxnSpPr>
      </xdr:nvCxnSpPr>
      <xdr:spPr>
        <a:xfrm flipV="1">
          <a:off x="5356412" y="298174"/>
          <a:ext cx="3693556" cy="2951532"/>
        </a:xfrm>
        <a:prstGeom prst="curvedConnector3">
          <a:avLst>
            <a:gd name="adj1" fmla="val 50000"/>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493059</xdr:colOff>
      <xdr:row>1</xdr:row>
      <xdr:rowOff>115957</xdr:rowOff>
    </xdr:from>
    <xdr:to>
      <xdr:col>11</xdr:col>
      <xdr:colOff>66261</xdr:colOff>
      <xdr:row>22</xdr:row>
      <xdr:rowOff>140073</xdr:rowOff>
    </xdr:to>
    <xdr:cxnSp macro="">
      <xdr:nvCxnSpPr>
        <xdr:cNvPr id="19" name="Connector: Curved 18">
          <a:extLst>
            <a:ext uri="{FF2B5EF4-FFF2-40B4-BE49-F238E27FC236}">
              <a16:creationId xmlns:a16="http://schemas.microsoft.com/office/drawing/2014/main" id="{38E1508E-A53A-4397-B771-6F5EEFED31C3}"/>
            </a:ext>
          </a:extLst>
        </xdr:cNvPr>
        <xdr:cNvCxnSpPr>
          <a:cxnSpLocks/>
          <a:stCxn id="24" idx="3"/>
        </xdr:cNvCxnSpPr>
      </xdr:nvCxnSpPr>
      <xdr:spPr>
        <a:xfrm flipV="1">
          <a:off x="5367618" y="306457"/>
          <a:ext cx="5848496" cy="4024616"/>
        </a:xfrm>
        <a:prstGeom prst="curvedConnector3">
          <a:avLst>
            <a:gd name="adj1" fmla="val 50000"/>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190500</xdr:colOff>
      <xdr:row>10</xdr:row>
      <xdr:rowOff>145675</xdr:rowOff>
    </xdr:from>
    <xdr:to>
      <xdr:col>5</xdr:col>
      <xdr:colOff>493059</xdr:colOff>
      <xdr:row>34</xdr:row>
      <xdr:rowOff>134470</xdr:rowOff>
    </xdr:to>
    <xdr:sp macro="" textlink="">
      <xdr:nvSpPr>
        <xdr:cNvPr id="24" name="TextBox 23">
          <a:extLst>
            <a:ext uri="{FF2B5EF4-FFF2-40B4-BE49-F238E27FC236}">
              <a16:creationId xmlns:a16="http://schemas.microsoft.com/office/drawing/2014/main" id="{CB3EE0DF-60F2-E6A7-FAD4-B7C3C55B0371}"/>
            </a:ext>
          </a:extLst>
        </xdr:cNvPr>
        <xdr:cNvSpPr txBox="1"/>
      </xdr:nvSpPr>
      <xdr:spPr>
        <a:xfrm>
          <a:off x="190500" y="2050675"/>
          <a:ext cx="5177118" cy="4560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Mark-to-Market</a:t>
          </a:r>
        </a:p>
        <a:p>
          <a:endParaRPr lang="es-ES" sz="1100"/>
        </a:p>
        <a:p>
          <a:r>
            <a:rPr lang="es-ES" sz="1100"/>
            <a:t>This represents the current value of the forward contract for a long position.</a:t>
          </a:r>
        </a:p>
        <a:p>
          <a:endParaRPr lang="es-ES" sz="1100"/>
        </a:p>
        <a:p>
          <a:r>
            <a:rPr lang="es-ES" sz="1100"/>
            <a:t>The formula used is:</a:t>
          </a:r>
        </a:p>
        <a:p>
          <a:endParaRPr lang="es-ES" sz="1100"/>
        </a:p>
        <a:p>
          <a:endParaRPr lang="es-ES" sz="1100"/>
        </a:p>
        <a:p>
          <a:endParaRPr lang="es-ES" sz="1100"/>
        </a:p>
        <a:p>
          <a:endParaRPr lang="es-ES" sz="1100"/>
        </a:p>
        <a:p>
          <a:endParaRPr lang="es-ES" sz="1100"/>
        </a:p>
        <a:p>
          <a:r>
            <a:rPr lang="es-ES" sz="1100"/>
            <a:t>Cumulative VM = previous cumulative VM + today's variation margin</a:t>
          </a:r>
        </a:p>
        <a:p>
          <a:endParaRPr lang="es-ES" sz="1100"/>
        </a:p>
        <a:p>
          <a:r>
            <a:rPr lang="es-ES" sz="1100"/>
            <a:t>That is:</a:t>
          </a:r>
        </a:p>
        <a:p>
          <a:endParaRPr lang="es-ES" sz="1100"/>
        </a:p>
        <a:p>
          <a:endParaRPr lang="es-ES" sz="1100"/>
        </a:p>
        <a:p>
          <a:endParaRPr lang="es-ES" sz="1100"/>
        </a:p>
        <a:p>
          <a:endParaRPr lang="es-ES" sz="1100"/>
        </a:p>
        <a:p>
          <a:r>
            <a:rPr lang="es-ES" sz="1100"/>
            <a:t>When the MTM increases, variation margin is received.</a:t>
          </a:r>
        </a:p>
        <a:p>
          <a:endParaRPr lang="es-ES" sz="1100"/>
        </a:p>
        <a:p>
          <a:r>
            <a:rPr lang="es-ES" sz="1100"/>
            <a:t>When the MTM decreases, variation margin is posted.</a:t>
          </a:r>
        </a:p>
        <a:p>
          <a:endParaRPr lang="es-ES" sz="1100"/>
        </a:p>
        <a:p>
          <a:r>
            <a:rPr lang="es-ES" sz="1100"/>
            <a:t>The cumulative VM replicates the current value of the contract because the contract starts with a value of zero.</a:t>
          </a:r>
        </a:p>
      </xdr:txBody>
    </xdr:sp>
    <xdr:clientData/>
  </xdr:twoCellAnchor>
  <xdr:twoCellAnchor editAs="oneCell">
    <xdr:from>
      <xdr:col>0</xdr:col>
      <xdr:colOff>425823</xdr:colOff>
      <xdr:row>16</xdr:row>
      <xdr:rowOff>11206</xdr:rowOff>
    </xdr:from>
    <xdr:to>
      <xdr:col>4</xdr:col>
      <xdr:colOff>93027</xdr:colOff>
      <xdr:row>19</xdr:row>
      <xdr:rowOff>156884</xdr:rowOff>
    </xdr:to>
    <xdr:pic>
      <xdr:nvPicPr>
        <xdr:cNvPr id="25" name="Picture 24">
          <a:extLst>
            <a:ext uri="{FF2B5EF4-FFF2-40B4-BE49-F238E27FC236}">
              <a16:creationId xmlns:a16="http://schemas.microsoft.com/office/drawing/2014/main" id="{1FDB9373-B3F6-D55D-6C46-690082E23475}"/>
            </a:ext>
          </a:extLst>
        </xdr:cNvPr>
        <xdr:cNvPicPr>
          <a:picLocks noChangeAspect="1"/>
        </xdr:cNvPicPr>
      </xdr:nvPicPr>
      <xdr:blipFill>
        <a:blip xmlns:r="http://schemas.openxmlformats.org/officeDocument/2006/relationships" r:embed="rId3"/>
        <a:stretch>
          <a:fillRect/>
        </a:stretch>
      </xdr:blipFill>
      <xdr:spPr>
        <a:xfrm>
          <a:off x="425823" y="3059206"/>
          <a:ext cx="3566851" cy="717178"/>
        </a:xfrm>
        <a:prstGeom prst="rect">
          <a:avLst/>
        </a:prstGeom>
      </xdr:spPr>
    </xdr:pic>
    <xdr:clientData/>
  </xdr:twoCellAnchor>
  <xdr:twoCellAnchor editAs="oneCell">
    <xdr:from>
      <xdr:col>0</xdr:col>
      <xdr:colOff>336175</xdr:colOff>
      <xdr:row>22</xdr:row>
      <xdr:rowOff>145675</xdr:rowOff>
    </xdr:from>
    <xdr:to>
      <xdr:col>5</xdr:col>
      <xdr:colOff>81811</xdr:colOff>
      <xdr:row>25</xdr:row>
      <xdr:rowOff>44824</xdr:rowOff>
    </xdr:to>
    <xdr:pic>
      <xdr:nvPicPr>
        <xdr:cNvPr id="26" name="Picture 25">
          <a:extLst>
            <a:ext uri="{FF2B5EF4-FFF2-40B4-BE49-F238E27FC236}">
              <a16:creationId xmlns:a16="http://schemas.microsoft.com/office/drawing/2014/main" id="{1A784763-2D74-E8C0-6944-3C79AF843B85}"/>
            </a:ext>
          </a:extLst>
        </xdr:cNvPr>
        <xdr:cNvPicPr>
          <a:picLocks noChangeAspect="1"/>
        </xdr:cNvPicPr>
      </xdr:nvPicPr>
      <xdr:blipFill rotWithShape="1">
        <a:blip xmlns:r="http://schemas.openxmlformats.org/officeDocument/2006/relationships" r:embed="rId4"/>
        <a:srcRect t="22857"/>
        <a:stretch>
          <a:fillRect/>
        </a:stretch>
      </xdr:blipFill>
      <xdr:spPr>
        <a:xfrm>
          <a:off x="336175" y="4336675"/>
          <a:ext cx="4620195" cy="4706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374852</xdr:colOff>
      <xdr:row>4</xdr:row>
      <xdr:rowOff>25892</xdr:rowOff>
    </xdr:from>
    <xdr:to>
      <xdr:col>4</xdr:col>
      <xdr:colOff>1879177</xdr:colOff>
      <xdr:row>6</xdr:row>
      <xdr:rowOff>168575</xdr:rowOff>
    </xdr:to>
    <xdr:sp macro="" textlink="">
      <xdr:nvSpPr>
        <xdr:cNvPr id="3" name="TextBox 2">
          <a:extLst>
            <a:ext uri="{FF2B5EF4-FFF2-40B4-BE49-F238E27FC236}">
              <a16:creationId xmlns:a16="http://schemas.microsoft.com/office/drawing/2014/main" id="{59D014F4-F260-43B2-9D41-5B1A3E85A552}"/>
            </a:ext>
          </a:extLst>
        </xdr:cNvPr>
        <xdr:cNvSpPr txBox="1"/>
      </xdr:nvSpPr>
      <xdr:spPr>
        <a:xfrm>
          <a:off x="374852" y="787892"/>
          <a:ext cx="10289737" cy="5236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estimates the initial margin required to protect against potential losses during the Margin Period of Risk. Unlike variation margin, which reflects daily changes in mark-to-market value, initial margin acts as a risk buffer in case the counterparty defaults and the position cannot be closed immediately.</a:t>
          </a:r>
        </a:p>
      </xdr:txBody>
    </xdr:sp>
    <xdr:clientData/>
  </xdr:twoCellAnchor>
  <xdr:twoCellAnchor>
    <xdr:from>
      <xdr:col>3</xdr:col>
      <xdr:colOff>1202440</xdr:colOff>
      <xdr:row>20</xdr:row>
      <xdr:rowOff>112059</xdr:rowOff>
    </xdr:from>
    <xdr:to>
      <xdr:col>3</xdr:col>
      <xdr:colOff>3160059</xdr:colOff>
      <xdr:row>30</xdr:row>
      <xdr:rowOff>99635</xdr:rowOff>
    </xdr:to>
    <xdr:cxnSp macro="">
      <xdr:nvCxnSpPr>
        <xdr:cNvPr id="9" name="Connector: Curved 8">
          <a:extLst>
            <a:ext uri="{FF2B5EF4-FFF2-40B4-BE49-F238E27FC236}">
              <a16:creationId xmlns:a16="http://schemas.microsoft.com/office/drawing/2014/main" id="{ADA7D1D3-3237-04D9-5A18-91BFFE7F6369}"/>
            </a:ext>
          </a:extLst>
        </xdr:cNvPr>
        <xdr:cNvCxnSpPr>
          <a:cxnSpLocks/>
          <a:stCxn id="42" idx="3"/>
        </xdr:cNvCxnSpPr>
      </xdr:nvCxnSpPr>
      <xdr:spPr>
        <a:xfrm flipV="1">
          <a:off x="6659705" y="3922059"/>
          <a:ext cx="1957619" cy="1892576"/>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78441</xdr:colOff>
      <xdr:row>13</xdr:row>
      <xdr:rowOff>56029</xdr:rowOff>
    </xdr:from>
    <xdr:to>
      <xdr:col>3</xdr:col>
      <xdr:colOff>3260911</xdr:colOff>
      <xdr:row>19</xdr:row>
      <xdr:rowOff>78441</xdr:rowOff>
    </xdr:to>
    <xdr:cxnSp macro="">
      <xdr:nvCxnSpPr>
        <xdr:cNvPr id="14" name="Connector: Curved 13">
          <a:extLst>
            <a:ext uri="{FF2B5EF4-FFF2-40B4-BE49-F238E27FC236}">
              <a16:creationId xmlns:a16="http://schemas.microsoft.com/office/drawing/2014/main" id="{08F88BBA-3099-66EB-4C7B-170EBF8FB73B}"/>
            </a:ext>
          </a:extLst>
        </xdr:cNvPr>
        <xdr:cNvCxnSpPr>
          <a:cxnSpLocks/>
        </xdr:cNvCxnSpPr>
      </xdr:nvCxnSpPr>
      <xdr:spPr>
        <a:xfrm>
          <a:off x="5535706" y="2532529"/>
          <a:ext cx="3182470" cy="116541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344945</xdr:colOff>
      <xdr:row>7</xdr:row>
      <xdr:rowOff>146650</xdr:rowOff>
    </xdr:from>
    <xdr:to>
      <xdr:col>3</xdr:col>
      <xdr:colOff>14128</xdr:colOff>
      <xdr:row>19</xdr:row>
      <xdr:rowOff>22411</xdr:rowOff>
    </xdr:to>
    <xdr:sp macro="" textlink="">
      <xdr:nvSpPr>
        <xdr:cNvPr id="39" name="TextBox 38">
          <a:extLst>
            <a:ext uri="{FF2B5EF4-FFF2-40B4-BE49-F238E27FC236}">
              <a16:creationId xmlns:a16="http://schemas.microsoft.com/office/drawing/2014/main" id="{E09F3E93-2A37-7546-8AD4-3E44EED0E349}"/>
            </a:ext>
          </a:extLst>
        </xdr:cNvPr>
        <xdr:cNvSpPr txBox="1"/>
      </xdr:nvSpPr>
      <xdr:spPr>
        <a:xfrm>
          <a:off x="344945" y="1480150"/>
          <a:ext cx="5126448" cy="21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Daily MTM Volatility</a:t>
          </a:r>
        </a:p>
        <a:p>
          <a:endParaRPr lang="es-ES" sz="1100"/>
        </a:p>
        <a:p>
          <a:r>
            <a:rPr lang="es-ES" sz="1100"/>
            <a:t>Daily MTM volatility measures the volatility of daily changes in the mark-to-market value. In this model, it is calculated using the Variation Margin column, because variation margin represents the daily change in MTM.</a:t>
          </a:r>
        </a:p>
        <a:p>
          <a:endParaRPr lang="es-ES" sz="1100"/>
        </a:p>
        <a:p>
          <a:endParaRPr lang="es-ES" sz="1100"/>
        </a:p>
        <a:p>
          <a:endParaRPr lang="es-ES" sz="1100"/>
        </a:p>
        <a:p>
          <a:r>
            <a:rPr lang="es-ES" sz="1100"/>
            <a:t>Therefore:</a:t>
          </a:r>
        </a:p>
        <a:p>
          <a:endParaRPr lang="es-ES" sz="1100"/>
        </a:p>
      </xdr:txBody>
    </xdr:sp>
    <xdr:clientData/>
  </xdr:twoCellAnchor>
  <xdr:twoCellAnchor editAs="oneCell">
    <xdr:from>
      <xdr:col>0</xdr:col>
      <xdr:colOff>868213</xdr:colOff>
      <xdr:row>13</xdr:row>
      <xdr:rowOff>19489</xdr:rowOff>
    </xdr:from>
    <xdr:to>
      <xdr:col>1</xdr:col>
      <xdr:colOff>1873819</xdr:colOff>
      <xdr:row>14</xdr:row>
      <xdr:rowOff>171196</xdr:rowOff>
    </xdr:to>
    <xdr:pic>
      <xdr:nvPicPr>
        <xdr:cNvPr id="40" name="Picture 39">
          <a:extLst>
            <a:ext uri="{FF2B5EF4-FFF2-40B4-BE49-F238E27FC236}">
              <a16:creationId xmlns:a16="http://schemas.microsoft.com/office/drawing/2014/main" id="{528DA25B-6053-DE17-455E-9C01CA8E638E}"/>
            </a:ext>
          </a:extLst>
        </xdr:cNvPr>
        <xdr:cNvPicPr>
          <a:picLocks noChangeAspect="1"/>
        </xdr:cNvPicPr>
      </xdr:nvPicPr>
      <xdr:blipFill>
        <a:blip xmlns:r="http://schemas.openxmlformats.org/officeDocument/2006/relationships" r:embed="rId1"/>
        <a:stretch>
          <a:fillRect/>
        </a:stretch>
      </xdr:blipFill>
      <xdr:spPr>
        <a:xfrm>
          <a:off x="868213" y="2495989"/>
          <a:ext cx="2305488" cy="342207"/>
        </a:xfrm>
        <a:prstGeom prst="rect">
          <a:avLst/>
        </a:prstGeom>
      </xdr:spPr>
    </xdr:pic>
    <xdr:clientData/>
  </xdr:twoCellAnchor>
  <xdr:twoCellAnchor editAs="oneCell">
    <xdr:from>
      <xdr:col>0</xdr:col>
      <xdr:colOff>753719</xdr:colOff>
      <xdr:row>16</xdr:row>
      <xdr:rowOff>111571</xdr:rowOff>
    </xdr:from>
    <xdr:to>
      <xdr:col>2</xdr:col>
      <xdr:colOff>313279</xdr:colOff>
      <xdr:row>18</xdr:row>
      <xdr:rowOff>152083</xdr:rowOff>
    </xdr:to>
    <xdr:pic>
      <xdr:nvPicPr>
        <xdr:cNvPr id="41" name="Picture 40">
          <a:extLst>
            <a:ext uri="{FF2B5EF4-FFF2-40B4-BE49-F238E27FC236}">
              <a16:creationId xmlns:a16="http://schemas.microsoft.com/office/drawing/2014/main" id="{2DBBF9A7-E1E7-12B8-C38B-74D3A539B887}"/>
            </a:ext>
          </a:extLst>
        </xdr:cNvPr>
        <xdr:cNvPicPr>
          <a:picLocks noChangeAspect="1"/>
        </xdr:cNvPicPr>
      </xdr:nvPicPr>
      <xdr:blipFill>
        <a:blip xmlns:r="http://schemas.openxmlformats.org/officeDocument/2006/relationships" r:embed="rId2"/>
        <a:stretch>
          <a:fillRect/>
        </a:stretch>
      </xdr:blipFill>
      <xdr:spPr>
        <a:xfrm>
          <a:off x="753719" y="3159571"/>
          <a:ext cx="2910119" cy="421512"/>
        </a:xfrm>
        <a:prstGeom prst="rect">
          <a:avLst/>
        </a:prstGeom>
      </xdr:spPr>
    </xdr:pic>
    <xdr:clientData/>
  </xdr:twoCellAnchor>
  <xdr:twoCellAnchor>
    <xdr:from>
      <xdr:col>0</xdr:col>
      <xdr:colOff>285020</xdr:colOff>
      <xdr:row>20</xdr:row>
      <xdr:rowOff>112059</xdr:rowOff>
    </xdr:from>
    <xdr:to>
      <xdr:col>3</xdr:col>
      <xdr:colOff>1202440</xdr:colOff>
      <xdr:row>40</xdr:row>
      <xdr:rowOff>87211</xdr:rowOff>
    </xdr:to>
    <xdr:sp macro="" textlink="">
      <xdr:nvSpPr>
        <xdr:cNvPr id="42" name="TextBox 41">
          <a:extLst>
            <a:ext uri="{FF2B5EF4-FFF2-40B4-BE49-F238E27FC236}">
              <a16:creationId xmlns:a16="http://schemas.microsoft.com/office/drawing/2014/main" id="{9CADDBC2-0E0D-B6E8-B291-3AB2C06AD7C2}"/>
            </a:ext>
          </a:extLst>
        </xdr:cNvPr>
        <xdr:cNvSpPr txBox="1"/>
      </xdr:nvSpPr>
      <xdr:spPr>
        <a:xfrm>
          <a:off x="285020" y="3922059"/>
          <a:ext cx="6374685" cy="3785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Initial Margin</a:t>
          </a:r>
        </a:p>
        <a:p>
          <a:endParaRPr lang="es-ES" sz="1100"/>
        </a:p>
        <a:p>
          <a:r>
            <a:rPr lang="es-ES" sz="1100"/>
            <a:t>Variation margin covers the daily change in the value of the contract. However, if the counterparty defaults, the position may not be closed immediately.</a:t>
          </a:r>
        </a:p>
        <a:p>
          <a:endParaRPr lang="es-ES" sz="1100"/>
        </a:p>
        <a:p>
          <a:r>
            <a:rPr lang="es-ES" sz="1100"/>
            <a:t>This delay is called the Margin Period of Risk. In this model, it is assumed to be 10 days.</a:t>
          </a:r>
        </a:p>
        <a:p>
          <a:endParaRPr lang="es-ES" sz="1100"/>
        </a:p>
        <a:p>
          <a:r>
            <a:rPr lang="es-ES" sz="1100"/>
            <a:t>Initial margin acts as a collateral buffer designed to cover potential losses during this period.</a:t>
          </a:r>
        </a:p>
        <a:p>
          <a:endParaRPr lang="es-ES" sz="1100"/>
        </a:p>
        <a:p>
          <a:r>
            <a:rPr lang="es-ES" sz="1100"/>
            <a:t>For this simplified version, the model uses:</a:t>
          </a:r>
        </a:p>
        <a:p>
          <a:endParaRPr lang="es-ES" sz="1100"/>
        </a:p>
        <a:p>
          <a:endParaRPr lang="es-ES" sz="1100"/>
        </a:p>
        <a:p>
          <a:endParaRPr lang="es-ES" sz="1100"/>
        </a:p>
        <a:p>
          <a:endParaRPr lang="es-ES" sz="1100"/>
        </a:p>
        <a:p>
          <a:r>
            <a:rPr lang="es-ES" sz="1100"/>
            <a:t>Where:</a:t>
          </a:r>
        </a:p>
        <a:p>
          <a:endParaRPr lang="es-ES" sz="1100"/>
        </a:p>
        <a:p>
          <a:r>
            <a:rPr lang="es-ES" sz="1100"/>
            <a:t>z(99%) is the normal quantile at the 99% confidence level.</a:t>
          </a:r>
        </a:p>
        <a:p>
          <a:endParaRPr lang="es-ES" sz="1100"/>
        </a:p>
        <a:p>
          <a:r>
            <a:rPr lang="el-GR" sz="1100"/>
            <a:t>σ(Δ</a:t>
          </a:r>
          <a:r>
            <a:rPr lang="es-ES" sz="1100"/>
            <a:t>MTM) is the volatility of daily mark-to-market changes.</a:t>
          </a:r>
        </a:p>
        <a:p>
          <a:endParaRPr lang="es-ES" sz="1100"/>
        </a:p>
        <a:p>
          <a:r>
            <a:rPr lang="es-ES" sz="1100"/>
            <a:t>MPoR is the Margin Period of Risk.</a:t>
          </a:r>
        </a:p>
      </xdr:txBody>
    </xdr:sp>
    <xdr:clientData/>
  </xdr:twoCellAnchor>
  <xdr:twoCellAnchor editAs="oneCell">
    <xdr:from>
      <xdr:col>0</xdr:col>
      <xdr:colOff>354693</xdr:colOff>
      <xdr:row>30</xdr:row>
      <xdr:rowOff>73083</xdr:rowOff>
    </xdr:from>
    <xdr:to>
      <xdr:col>1</xdr:col>
      <xdr:colOff>1843945</xdr:colOff>
      <xdr:row>32</xdr:row>
      <xdr:rowOff>56517</xdr:rowOff>
    </xdr:to>
    <xdr:pic>
      <xdr:nvPicPr>
        <xdr:cNvPr id="43" name="Picture 42">
          <a:extLst>
            <a:ext uri="{FF2B5EF4-FFF2-40B4-BE49-F238E27FC236}">
              <a16:creationId xmlns:a16="http://schemas.microsoft.com/office/drawing/2014/main" id="{B4494468-0481-E59B-9840-80663E365259}"/>
            </a:ext>
          </a:extLst>
        </xdr:cNvPr>
        <xdr:cNvPicPr>
          <a:picLocks noChangeAspect="1"/>
        </xdr:cNvPicPr>
      </xdr:nvPicPr>
      <xdr:blipFill>
        <a:blip xmlns:r="http://schemas.openxmlformats.org/officeDocument/2006/relationships" r:embed="rId3"/>
        <a:stretch>
          <a:fillRect/>
        </a:stretch>
      </xdr:blipFill>
      <xdr:spPr>
        <a:xfrm>
          <a:off x="354693" y="5788083"/>
          <a:ext cx="2789134" cy="3644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180975</xdr:colOff>
      <xdr:row>2</xdr:row>
      <xdr:rowOff>142875</xdr:rowOff>
    </xdr:from>
    <xdr:to>
      <xdr:col>8</xdr:col>
      <xdr:colOff>85725</xdr:colOff>
      <xdr:row>7</xdr:row>
      <xdr:rowOff>76200</xdr:rowOff>
    </xdr:to>
    <xdr:sp macro="" textlink="">
      <xdr:nvSpPr>
        <xdr:cNvPr id="2" name="TextBox 1">
          <a:extLst>
            <a:ext uri="{FF2B5EF4-FFF2-40B4-BE49-F238E27FC236}">
              <a16:creationId xmlns:a16="http://schemas.microsoft.com/office/drawing/2014/main" id="{851B9A32-2170-7202-9DF9-867FF2C88686}"/>
            </a:ext>
          </a:extLst>
        </xdr:cNvPr>
        <xdr:cNvSpPr txBox="1"/>
      </xdr:nvSpPr>
      <xdr:spPr>
        <a:xfrm>
          <a:off x="180975" y="523875"/>
          <a:ext cx="478155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analyses what happens if the counterparty defaults during the life of the derivative. The objective is to compare the potential loss during the Margin Period of Risk with the initial margin previously calculated. This helps assess whether the collateral buffer is sufficient to protect against adverse market movements after default.</a:t>
          </a:r>
        </a:p>
      </xdr:txBody>
    </xdr:sp>
    <xdr:clientData/>
  </xdr:twoCellAnchor>
  <xdr:twoCellAnchor>
    <xdr:from>
      <xdr:col>0</xdr:col>
      <xdr:colOff>179294</xdr:colOff>
      <xdr:row>8</xdr:row>
      <xdr:rowOff>44824</xdr:rowOff>
    </xdr:from>
    <xdr:to>
      <xdr:col>8</xdr:col>
      <xdr:colOff>78441</xdr:colOff>
      <xdr:row>14</xdr:row>
      <xdr:rowOff>22972</xdr:rowOff>
    </xdr:to>
    <xdr:sp macro="" textlink="">
      <xdr:nvSpPr>
        <xdr:cNvPr id="15" name="TextBox 14">
          <a:extLst>
            <a:ext uri="{FF2B5EF4-FFF2-40B4-BE49-F238E27FC236}">
              <a16:creationId xmlns:a16="http://schemas.microsoft.com/office/drawing/2014/main" id="{F52A33ED-A3EC-7BF1-CEB2-F5C06E3DCFE9}"/>
            </a:ext>
          </a:extLst>
        </xdr:cNvPr>
        <xdr:cNvSpPr txBox="1"/>
      </xdr:nvSpPr>
      <xdr:spPr>
        <a:xfrm>
          <a:off x="179294" y="1568824"/>
          <a:ext cx="7429500" cy="1490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Close-out Day</a:t>
          </a:r>
        </a:p>
        <a:p>
          <a:endParaRPr lang="es-ES" sz="1100"/>
        </a:p>
        <a:p>
          <a:r>
            <a:rPr lang="es-ES" sz="1100"/>
            <a:t>This is the day on which the position is assumed to be closed or replaced after the counterparty default.</a:t>
          </a:r>
        </a:p>
        <a:p>
          <a:endParaRPr lang="es-ES" sz="1100"/>
        </a:p>
        <a:p>
          <a:r>
            <a:rPr lang="es-ES" sz="1100"/>
            <a:t>Formula:</a:t>
          </a:r>
        </a:p>
        <a:p>
          <a:endParaRPr lang="es-ES" sz="1100"/>
        </a:p>
        <a:p>
          <a:endParaRPr lang="es-ES" sz="1100"/>
        </a:p>
        <a:p>
          <a:r>
            <a:rPr lang="es-ES" sz="1100"/>
            <a:t>If the counterparty defaults on day 180 and the MPoR is 10 days, the position is closed on day 190.</a:t>
          </a:r>
        </a:p>
      </xdr:txBody>
    </xdr:sp>
    <xdr:clientData/>
  </xdr:twoCellAnchor>
  <xdr:twoCellAnchor editAs="oneCell">
    <xdr:from>
      <xdr:col>0</xdr:col>
      <xdr:colOff>885265</xdr:colOff>
      <xdr:row>11</xdr:row>
      <xdr:rowOff>179293</xdr:rowOff>
    </xdr:from>
    <xdr:to>
      <xdr:col>2</xdr:col>
      <xdr:colOff>1512795</xdr:colOff>
      <xdr:row>12</xdr:row>
      <xdr:rowOff>258484</xdr:rowOff>
    </xdr:to>
    <xdr:pic>
      <xdr:nvPicPr>
        <xdr:cNvPr id="16" name="Picture 15">
          <a:extLst>
            <a:ext uri="{FF2B5EF4-FFF2-40B4-BE49-F238E27FC236}">
              <a16:creationId xmlns:a16="http://schemas.microsoft.com/office/drawing/2014/main" id="{7DD5A54E-3533-29B0-8690-A0CDB3CCF15A}"/>
            </a:ext>
          </a:extLst>
        </xdr:cNvPr>
        <xdr:cNvPicPr>
          <a:picLocks noChangeAspect="1"/>
        </xdr:cNvPicPr>
      </xdr:nvPicPr>
      <xdr:blipFill>
        <a:blip xmlns:r="http://schemas.openxmlformats.org/officeDocument/2006/relationships" r:embed="rId1"/>
        <a:stretch>
          <a:fillRect/>
        </a:stretch>
      </xdr:blipFill>
      <xdr:spPr>
        <a:xfrm>
          <a:off x="885265" y="2274793"/>
          <a:ext cx="3081618" cy="269691"/>
        </a:xfrm>
        <a:prstGeom prst="rect">
          <a:avLst/>
        </a:prstGeom>
      </xdr:spPr>
    </xdr:pic>
    <xdr:clientData/>
  </xdr:twoCellAnchor>
  <xdr:twoCellAnchor>
    <xdr:from>
      <xdr:col>0</xdr:col>
      <xdr:colOff>190500</xdr:colOff>
      <xdr:row>14</xdr:row>
      <xdr:rowOff>179295</xdr:rowOff>
    </xdr:from>
    <xdr:to>
      <xdr:col>8</xdr:col>
      <xdr:colOff>100853</xdr:colOff>
      <xdr:row>23</xdr:row>
      <xdr:rowOff>100853</xdr:rowOff>
    </xdr:to>
    <xdr:sp macro="" textlink="">
      <xdr:nvSpPr>
        <xdr:cNvPr id="17" name="TextBox 16">
          <a:extLst>
            <a:ext uri="{FF2B5EF4-FFF2-40B4-BE49-F238E27FC236}">
              <a16:creationId xmlns:a16="http://schemas.microsoft.com/office/drawing/2014/main" id="{ACE2B17E-B340-A38E-C907-9BDB14D99FA9}"/>
            </a:ext>
          </a:extLst>
        </xdr:cNvPr>
        <xdr:cNvSpPr txBox="1"/>
      </xdr:nvSpPr>
      <xdr:spPr>
        <a:xfrm>
          <a:off x="190500" y="3216089"/>
          <a:ext cx="7440706" cy="1636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Loss during MPoR</a:t>
          </a:r>
        </a:p>
        <a:p>
          <a:endParaRPr lang="es-ES" sz="1100"/>
        </a:p>
        <a:p>
          <a:r>
            <a:rPr lang="es-ES" sz="1100"/>
            <a:t>This represents the additional exposure generated during the Margin Period of Risk.</a:t>
          </a:r>
        </a:p>
        <a:p>
          <a:endParaRPr lang="es-ES" sz="1100"/>
        </a:p>
        <a:p>
          <a:r>
            <a:rPr lang="es-ES" sz="1100"/>
            <a:t>Formula:</a:t>
          </a:r>
        </a:p>
        <a:p>
          <a:endParaRPr lang="es-ES" sz="1100"/>
        </a:p>
        <a:p>
          <a:r>
            <a:rPr lang="es-ES" sz="1100"/>
            <a:t>Only positive increases in exposure are counted as losses. If the exposure decreases during the MPoR, the loss is set to zero.</a:t>
          </a:r>
        </a:p>
      </xdr:txBody>
    </xdr:sp>
    <xdr:clientData/>
  </xdr:twoCellAnchor>
  <xdr:twoCellAnchor editAs="oneCell">
    <xdr:from>
      <xdr:col>0</xdr:col>
      <xdr:colOff>1019736</xdr:colOff>
      <xdr:row>18</xdr:row>
      <xdr:rowOff>100854</xdr:rowOff>
    </xdr:from>
    <xdr:to>
      <xdr:col>4</xdr:col>
      <xdr:colOff>9304</xdr:colOff>
      <xdr:row>20</xdr:row>
      <xdr:rowOff>22412</xdr:rowOff>
    </xdr:to>
    <xdr:pic>
      <xdr:nvPicPr>
        <xdr:cNvPr id="18" name="Picture 17">
          <a:extLst>
            <a:ext uri="{FF2B5EF4-FFF2-40B4-BE49-F238E27FC236}">
              <a16:creationId xmlns:a16="http://schemas.microsoft.com/office/drawing/2014/main" id="{9179585A-3D1E-AFCE-49AD-D24EF92EB086}"/>
            </a:ext>
          </a:extLst>
        </xdr:cNvPr>
        <xdr:cNvPicPr>
          <a:picLocks noChangeAspect="1"/>
        </xdr:cNvPicPr>
      </xdr:nvPicPr>
      <xdr:blipFill>
        <a:blip xmlns:r="http://schemas.openxmlformats.org/officeDocument/2006/relationships" r:embed="rId2"/>
        <a:stretch>
          <a:fillRect/>
        </a:stretch>
      </xdr:blipFill>
      <xdr:spPr>
        <a:xfrm>
          <a:off x="1019736" y="3899648"/>
          <a:ext cx="4099450" cy="302558"/>
        </a:xfrm>
        <a:prstGeom prst="rect">
          <a:avLst/>
        </a:prstGeom>
      </xdr:spPr>
    </xdr:pic>
    <xdr:clientData/>
  </xdr:twoCellAnchor>
  <xdr:twoCellAnchor>
    <xdr:from>
      <xdr:col>0</xdr:col>
      <xdr:colOff>190500</xdr:colOff>
      <xdr:row>24</xdr:row>
      <xdr:rowOff>67236</xdr:rowOff>
    </xdr:from>
    <xdr:to>
      <xdr:col>8</xdr:col>
      <xdr:colOff>112059</xdr:colOff>
      <xdr:row>33</xdr:row>
      <xdr:rowOff>67236</xdr:rowOff>
    </xdr:to>
    <xdr:sp macro="" textlink="">
      <xdr:nvSpPr>
        <xdr:cNvPr id="19" name="TextBox 18">
          <a:extLst>
            <a:ext uri="{FF2B5EF4-FFF2-40B4-BE49-F238E27FC236}">
              <a16:creationId xmlns:a16="http://schemas.microsoft.com/office/drawing/2014/main" id="{2E8BB8AD-5830-A251-D497-E5E83836D2C4}"/>
            </a:ext>
          </a:extLst>
        </xdr:cNvPr>
        <xdr:cNvSpPr txBox="1"/>
      </xdr:nvSpPr>
      <xdr:spPr>
        <a:xfrm>
          <a:off x="190500" y="5009030"/>
          <a:ext cx="7451912"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Uncovered Loss</a:t>
          </a:r>
        </a:p>
        <a:p>
          <a:endParaRPr lang="es-ES" sz="1100"/>
        </a:p>
        <a:p>
          <a:r>
            <a:rPr lang="es-ES" sz="1100"/>
            <a:t>This is the part of the loss during the Margin Period of Risk that is not covered by the initial margin.</a:t>
          </a:r>
        </a:p>
        <a:p>
          <a:endParaRPr lang="es-ES" sz="1100"/>
        </a:p>
        <a:p>
          <a:r>
            <a:rPr lang="es-ES" sz="1100"/>
            <a:t>Formula:</a:t>
          </a:r>
        </a:p>
        <a:p>
          <a:endParaRPr lang="es-ES" sz="1100"/>
        </a:p>
        <a:p>
          <a:r>
            <a:rPr lang="es-ES" sz="1100"/>
            <a:t>If the initial margin is greater than the loss, the uncovered loss is zero. If the loss is greater than the initial margin, the difference remains as an uncovered loss.</a:t>
          </a:r>
        </a:p>
      </xdr:txBody>
    </xdr:sp>
    <xdr:clientData/>
  </xdr:twoCellAnchor>
  <xdr:twoCellAnchor editAs="oneCell">
    <xdr:from>
      <xdr:col>0</xdr:col>
      <xdr:colOff>896471</xdr:colOff>
      <xdr:row>28</xdr:row>
      <xdr:rowOff>22412</xdr:rowOff>
    </xdr:from>
    <xdr:to>
      <xdr:col>4</xdr:col>
      <xdr:colOff>431542</xdr:colOff>
      <xdr:row>29</xdr:row>
      <xdr:rowOff>56030</xdr:rowOff>
    </xdr:to>
    <xdr:pic>
      <xdr:nvPicPr>
        <xdr:cNvPr id="20" name="Picture 19">
          <a:extLst>
            <a:ext uri="{FF2B5EF4-FFF2-40B4-BE49-F238E27FC236}">
              <a16:creationId xmlns:a16="http://schemas.microsoft.com/office/drawing/2014/main" id="{A854D883-542D-22E5-57B1-33EFBD6453F9}"/>
            </a:ext>
          </a:extLst>
        </xdr:cNvPr>
        <xdr:cNvPicPr>
          <a:picLocks noChangeAspect="1"/>
        </xdr:cNvPicPr>
      </xdr:nvPicPr>
      <xdr:blipFill>
        <a:blip xmlns:r="http://schemas.openxmlformats.org/officeDocument/2006/relationships" r:embed="rId3"/>
        <a:stretch>
          <a:fillRect/>
        </a:stretch>
      </xdr:blipFill>
      <xdr:spPr>
        <a:xfrm>
          <a:off x="896471" y="5726206"/>
          <a:ext cx="4644953" cy="224118"/>
        </a:xfrm>
        <a:prstGeom prst="rect">
          <a:avLst/>
        </a:prstGeom>
      </xdr:spPr>
    </xdr:pic>
    <xdr:clientData/>
  </xdr:twoCellAnchor>
  <xdr:twoCellAnchor>
    <xdr:from>
      <xdr:col>8</xdr:col>
      <xdr:colOff>78441</xdr:colOff>
      <xdr:row>11</xdr:row>
      <xdr:rowOff>123545</xdr:rowOff>
    </xdr:from>
    <xdr:to>
      <xdr:col>11</xdr:col>
      <xdr:colOff>1008529</xdr:colOff>
      <xdr:row>13</xdr:row>
      <xdr:rowOff>78441</xdr:rowOff>
    </xdr:to>
    <xdr:cxnSp macro="">
      <xdr:nvCxnSpPr>
        <xdr:cNvPr id="22" name="Connector: Curved 21">
          <a:extLst>
            <a:ext uri="{FF2B5EF4-FFF2-40B4-BE49-F238E27FC236}">
              <a16:creationId xmlns:a16="http://schemas.microsoft.com/office/drawing/2014/main" id="{CD605946-65E2-936C-57E5-C1FF3A8A356C}"/>
            </a:ext>
          </a:extLst>
        </xdr:cNvPr>
        <xdr:cNvCxnSpPr>
          <a:stCxn id="15" idx="3"/>
        </xdr:cNvCxnSpPr>
      </xdr:nvCxnSpPr>
      <xdr:spPr>
        <a:xfrm>
          <a:off x="7608794" y="2409545"/>
          <a:ext cx="2745441" cy="70569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100853</xdr:colOff>
      <xdr:row>16</xdr:row>
      <xdr:rowOff>100853</xdr:rowOff>
    </xdr:from>
    <xdr:to>
      <xdr:col>12</xdr:col>
      <xdr:colOff>22412</xdr:colOff>
      <xdr:row>19</xdr:row>
      <xdr:rowOff>44824</xdr:rowOff>
    </xdr:to>
    <xdr:cxnSp macro="">
      <xdr:nvCxnSpPr>
        <xdr:cNvPr id="24" name="Connector: Curved 23">
          <a:extLst>
            <a:ext uri="{FF2B5EF4-FFF2-40B4-BE49-F238E27FC236}">
              <a16:creationId xmlns:a16="http://schemas.microsoft.com/office/drawing/2014/main" id="{FEE8CEF5-3FA9-4326-9FB7-7092C66BC44F}"/>
            </a:ext>
          </a:extLst>
        </xdr:cNvPr>
        <xdr:cNvCxnSpPr>
          <a:stCxn id="17" idx="3"/>
        </xdr:cNvCxnSpPr>
      </xdr:nvCxnSpPr>
      <xdr:spPr>
        <a:xfrm flipV="1">
          <a:off x="7631206" y="3709147"/>
          <a:ext cx="2846294" cy="515471"/>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112059</xdr:colOff>
      <xdr:row>18</xdr:row>
      <xdr:rowOff>123265</xdr:rowOff>
    </xdr:from>
    <xdr:to>
      <xdr:col>11</xdr:col>
      <xdr:colOff>997323</xdr:colOff>
      <xdr:row>28</xdr:row>
      <xdr:rowOff>162486</xdr:rowOff>
    </xdr:to>
    <xdr:cxnSp macro="">
      <xdr:nvCxnSpPr>
        <xdr:cNvPr id="28" name="Connector: Curved 27">
          <a:extLst>
            <a:ext uri="{FF2B5EF4-FFF2-40B4-BE49-F238E27FC236}">
              <a16:creationId xmlns:a16="http://schemas.microsoft.com/office/drawing/2014/main" id="{8A3FB15E-C5F6-4E95-82E3-AFF43E058D03}"/>
            </a:ext>
          </a:extLst>
        </xdr:cNvPr>
        <xdr:cNvCxnSpPr>
          <a:stCxn id="19" idx="3"/>
        </xdr:cNvCxnSpPr>
      </xdr:nvCxnSpPr>
      <xdr:spPr>
        <a:xfrm flipV="1">
          <a:off x="7642412" y="4112559"/>
          <a:ext cx="2700617" cy="1944221"/>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104776</xdr:colOff>
      <xdr:row>3</xdr:row>
      <xdr:rowOff>95250</xdr:rowOff>
    </xdr:from>
    <xdr:to>
      <xdr:col>8</xdr:col>
      <xdr:colOff>19051</xdr:colOff>
      <xdr:row>21</xdr:row>
      <xdr:rowOff>28575</xdr:rowOff>
    </xdr:to>
    <xdr:sp macro="" textlink="">
      <xdr:nvSpPr>
        <xdr:cNvPr id="3" name="TextBox 2">
          <a:extLst>
            <a:ext uri="{FF2B5EF4-FFF2-40B4-BE49-F238E27FC236}">
              <a16:creationId xmlns:a16="http://schemas.microsoft.com/office/drawing/2014/main" id="{3E25B245-01CB-D044-7D79-1AF9764A66A4}"/>
            </a:ext>
          </a:extLst>
        </xdr:cNvPr>
        <xdr:cNvSpPr txBox="1"/>
      </xdr:nvSpPr>
      <xdr:spPr>
        <a:xfrm>
          <a:off x="1371601" y="285750"/>
          <a:ext cx="7962900" cy="3743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table shows how the required initial margin changes under different confidence levels. A higher confidence level leads to a higher z-score, which increases the initial margin requirement. This reduces the probability of an uncovered loss, but also increases the amount of collateral that must be posted.</a:t>
          </a:r>
        </a:p>
        <a:p>
          <a:endParaRPr lang="es-ES" sz="1100"/>
        </a:p>
        <a:p>
          <a:r>
            <a:rPr lang="es-ES" sz="1100"/>
            <a:t>- Confidence Level: probability level used to estimate the initial margin. A higher confidence level means a more conservative margin requirement.</a:t>
          </a:r>
        </a:p>
        <a:p>
          <a:r>
            <a:rPr lang="es-ES" sz="1100"/>
            <a:t>- Z-score: normal distribution quantile associated with the selected confidence level. It converts the confidence level into a risk multiplier.</a:t>
          </a:r>
        </a:p>
        <a:p>
          <a:r>
            <a:rPr lang="es-ES" sz="1100"/>
            <a:t>- Daily MTM Volatility: standard deviation of daily changes in the mark-to-market value of the derivative. It measures how much the derivative                 value typically moves per day in monetary terms.</a:t>
          </a:r>
        </a:p>
        <a:p>
          <a:endParaRPr lang="es-ES" sz="1100"/>
        </a:p>
        <a:p>
          <a:r>
            <a:rPr lang="es-ES" sz="1100"/>
            <a:t>- MPoR: Margin Period of Risk. It represents the number of days between the counterparty default and the close-out or replacement of the position.</a:t>
          </a:r>
        </a:p>
        <a:p>
          <a:endParaRPr lang="es-ES" sz="1100"/>
        </a:p>
        <a:p>
          <a:r>
            <a:rPr lang="es-ES" sz="1100"/>
            <a:t>- Initial Margin: collateral buffer estimated to cover potential losses during the MPoR. It is calculated using the z-score, daily MTM volatility and MPoR.</a:t>
          </a:r>
        </a:p>
        <a:p>
          <a:endParaRPr lang="es-ES" sz="1100"/>
        </a:p>
        <a:p>
          <a:r>
            <a:rPr lang="es-ES" sz="1100"/>
            <a:t>- Loss during MPoR: additional exposure generated between the default day and the close-out day. This is the loss that the initial margin is meant to cover.</a:t>
          </a:r>
        </a:p>
        <a:p>
          <a:endParaRPr lang="es-ES" sz="1100"/>
        </a:p>
        <a:p>
          <a:r>
            <a:rPr lang="es-ES" sz="1100"/>
            <a:t>- Uncovered Loss: part of the loss during the MPoR that is not covered by the initial margin. If this value is zero, the initial margin was sufficient in that scenario.</a:t>
          </a:r>
        </a:p>
      </xdr:txBody>
    </xdr:sp>
    <xdr:clientData/>
  </xdr:twoCellAnchor>
  <xdr:twoCellAnchor>
    <xdr:from>
      <xdr:col>9</xdr:col>
      <xdr:colOff>537482</xdr:colOff>
      <xdr:row>3</xdr:row>
      <xdr:rowOff>61233</xdr:rowOff>
    </xdr:from>
    <xdr:to>
      <xdr:col>15</xdr:col>
      <xdr:colOff>95250</xdr:colOff>
      <xdr:row>7</xdr:row>
      <xdr:rowOff>42183</xdr:rowOff>
    </xdr:to>
    <xdr:sp macro="" textlink="">
      <xdr:nvSpPr>
        <xdr:cNvPr id="4" name="TextBox 3">
          <a:extLst>
            <a:ext uri="{FF2B5EF4-FFF2-40B4-BE49-F238E27FC236}">
              <a16:creationId xmlns:a16="http://schemas.microsoft.com/office/drawing/2014/main" id="{1ED76A3C-0FDE-F2D9-B97F-90B823350593}"/>
            </a:ext>
          </a:extLst>
        </xdr:cNvPr>
        <xdr:cNvSpPr txBox="1"/>
      </xdr:nvSpPr>
      <xdr:spPr>
        <a:xfrm>
          <a:off x="10470696" y="632733"/>
          <a:ext cx="5558518"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section analyses how the initial margin requirement changes when the Margin Period of Risk increases. A longer MPoR means that the position remains exposed for more days after default, which increases the potential loss and therefore the required collateral buffer.</a:t>
          </a:r>
        </a:p>
      </xdr:txBody>
    </xdr:sp>
    <xdr:clientData/>
  </xdr:twoCellAnchor>
  <xdr:twoCellAnchor>
    <xdr:from>
      <xdr:col>9</xdr:col>
      <xdr:colOff>254975</xdr:colOff>
      <xdr:row>15</xdr:row>
      <xdr:rowOff>169690</xdr:rowOff>
    </xdr:from>
    <xdr:to>
      <xdr:col>12</xdr:col>
      <xdr:colOff>1037384</xdr:colOff>
      <xdr:row>27</xdr:row>
      <xdr:rowOff>55390</xdr:rowOff>
    </xdr:to>
    <xdr:graphicFrame macro="">
      <xdr:nvGraphicFramePr>
        <xdr:cNvPr id="6" name="Chart 5">
          <a:extLst>
            <a:ext uri="{FF2B5EF4-FFF2-40B4-BE49-F238E27FC236}">
              <a16:creationId xmlns:a16="http://schemas.microsoft.com/office/drawing/2014/main" id="{E35848D9-B4C8-B425-7E67-E9CB541C4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216594</xdr:colOff>
      <xdr:row>17</xdr:row>
      <xdr:rowOff>47386</xdr:rowOff>
    </xdr:from>
    <xdr:to>
      <xdr:col>16</xdr:col>
      <xdr:colOff>178494</xdr:colOff>
      <xdr:row>24</xdr:row>
      <xdr:rowOff>93650</xdr:rowOff>
    </xdr:to>
    <xdr:sp macro="" textlink="">
      <xdr:nvSpPr>
        <xdr:cNvPr id="7" name="TextBox 6">
          <a:extLst>
            <a:ext uri="{FF2B5EF4-FFF2-40B4-BE49-F238E27FC236}">
              <a16:creationId xmlns:a16="http://schemas.microsoft.com/office/drawing/2014/main" id="{E5776F5F-54CA-6E48-A1A8-D01CF3A2078F}"/>
            </a:ext>
          </a:extLst>
        </xdr:cNvPr>
        <xdr:cNvSpPr txBox="1"/>
      </xdr:nvSpPr>
      <xdr:spPr>
        <a:xfrm>
          <a:off x="13921388" y="4070298"/>
          <a:ext cx="2763371" cy="1570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a:t>This chart shows how the required initial margin increases with the Margin Period of Risk. A longer MPoR means that the position remains exposed for more time after default, so a larger collateral buffer is needed. The relationship is not linear, since the initial margin grows with the square root of the MPoR.</a:t>
          </a:r>
          <a:endParaRPr lang="es-E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428625</xdr:colOff>
      <xdr:row>13</xdr:row>
      <xdr:rowOff>111577</xdr:rowOff>
    </xdr:from>
    <xdr:to>
      <xdr:col>9</xdr:col>
      <xdr:colOff>103654</xdr:colOff>
      <xdr:row>28</xdr:row>
      <xdr:rowOff>140152</xdr:rowOff>
    </xdr:to>
    <xdr:graphicFrame macro="">
      <xdr:nvGraphicFramePr>
        <xdr:cNvPr id="2" name="Chart 1">
          <a:extLst>
            <a:ext uri="{FF2B5EF4-FFF2-40B4-BE49-F238E27FC236}">
              <a16:creationId xmlns:a16="http://schemas.microsoft.com/office/drawing/2014/main" id="{33B0EF08-2814-4794-86FF-1CEF1307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608408</xdr:colOff>
      <xdr:row>13</xdr:row>
      <xdr:rowOff>136242</xdr:rowOff>
    </xdr:from>
    <xdr:to>
      <xdr:col>17</xdr:col>
      <xdr:colOff>95250</xdr:colOff>
      <xdr:row>28</xdr:row>
      <xdr:rowOff>149678</xdr:rowOff>
    </xdr:to>
    <xdr:graphicFrame macro="">
      <xdr:nvGraphicFramePr>
        <xdr:cNvPr id="3" name="Chart 2">
          <a:extLst>
            <a:ext uri="{FF2B5EF4-FFF2-40B4-BE49-F238E27FC236}">
              <a16:creationId xmlns:a16="http://schemas.microsoft.com/office/drawing/2014/main" id="{80421CCE-FC9D-4EB9-894A-CDECD9A02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372837</xdr:colOff>
      <xdr:row>30</xdr:row>
      <xdr:rowOff>107497</xdr:rowOff>
    </xdr:from>
    <xdr:to>
      <xdr:col>25</xdr:col>
      <xdr:colOff>489857</xdr:colOff>
      <xdr:row>44</xdr:row>
      <xdr:rowOff>164647</xdr:rowOff>
    </xdr:to>
    <xdr:graphicFrame macro="">
      <xdr:nvGraphicFramePr>
        <xdr:cNvPr id="4" name="Chart 3">
          <a:extLst>
            <a:ext uri="{FF2B5EF4-FFF2-40B4-BE49-F238E27FC236}">
              <a16:creationId xmlns:a16="http://schemas.microsoft.com/office/drawing/2014/main" id="{9B8C2E95-33DA-4D87-8E5E-8D1186FA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507545</xdr:colOff>
      <xdr:row>13</xdr:row>
      <xdr:rowOff>169690</xdr:rowOff>
    </xdr:from>
    <xdr:to>
      <xdr:col>25</xdr:col>
      <xdr:colOff>435428</xdr:colOff>
      <xdr:row>28</xdr:row>
      <xdr:rowOff>122463</xdr:rowOff>
    </xdr:to>
    <xdr:graphicFrame macro="">
      <xdr:nvGraphicFramePr>
        <xdr:cNvPr id="5" name="Chart 4">
          <a:extLst>
            <a:ext uri="{FF2B5EF4-FFF2-40B4-BE49-F238E27FC236}">
              <a16:creationId xmlns:a16="http://schemas.microsoft.com/office/drawing/2014/main" id="{15AE2D37-E474-400E-A930-DC536F337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408215</xdr:colOff>
      <xdr:row>47</xdr:row>
      <xdr:rowOff>13606</xdr:rowOff>
    </xdr:from>
    <xdr:to>
      <xdr:col>25</xdr:col>
      <xdr:colOff>557892</xdr:colOff>
      <xdr:row>66</xdr:row>
      <xdr:rowOff>122463</xdr:rowOff>
    </xdr:to>
    <xdr:sp macro="" textlink="">
      <xdr:nvSpPr>
        <xdr:cNvPr id="6" name="TextBox 5">
          <a:extLst>
            <a:ext uri="{FF2B5EF4-FFF2-40B4-BE49-F238E27FC236}">
              <a16:creationId xmlns:a16="http://schemas.microsoft.com/office/drawing/2014/main" id="{02B862EA-A0AD-FA5E-9B5E-2D1012C4830C}"/>
            </a:ext>
          </a:extLst>
        </xdr:cNvPr>
        <xdr:cNvSpPr txBox="1"/>
      </xdr:nvSpPr>
      <xdr:spPr>
        <a:xfrm>
          <a:off x="1020536" y="9307285"/>
          <a:ext cx="15308035" cy="3728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Dashboard Interpretation</a:t>
          </a:r>
        </a:p>
        <a:p>
          <a:endParaRPr lang="es-ES" sz="1100"/>
        </a:p>
        <a:p>
          <a:r>
            <a:rPr lang="es-ES" sz="1100"/>
            <a:t>The “Underlying Price Path” chart shows the simulated evolution of the underlying asset price. This simulation is the starting point of the model, because changes in the underlying asset price drive changes in the value of the derivative. In other words, when the asset price moves, the forward contract also changes in value.</a:t>
          </a:r>
        </a:p>
        <a:p>
          <a:endParaRPr lang="es-ES" sz="1100"/>
        </a:p>
        <a:p>
          <a:r>
            <a:rPr lang="es-ES" sz="1100"/>
            <a:t>The “Mark-to-Market” chart shows how the current value of the contract evolves over time. When the mark-to-market is positive, the position has value in our favour; when it is negative, the position moves against us. This value is important because it is used to calculate daily exposure and to understand what could happen if the counterparty defaults.</a:t>
          </a:r>
        </a:p>
        <a:p>
          <a:endParaRPr lang="es-ES" sz="1100"/>
        </a:p>
        <a:p>
          <a:r>
            <a:rPr lang="es-ES" sz="1100"/>
            <a:t>The “Daily Variation Margin” chart shows the daily variation margin flows. Positive bars represent days on which collateral is received, while negative bars represent days on which collateral must be posted. This highlights that collateral is not only a protection against counterparty credit risk, but also a potential source of liquidity pressure, because cash or eligible assets may need to be moved frequently.</a:t>
          </a:r>
        </a:p>
        <a:p>
          <a:endParaRPr lang="es-ES" sz="1100"/>
        </a:p>
        <a:p>
          <a:r>
            <a:rPr lang="es-ES" sz="1100"/>
            <a:t>The “Initial Margin vs MPoR” chart shows how initial margin increases as the Margin Period of Risk increases. The longer it takes to close or replace the position after a default, the greater the risk that the market moves against the surviving counterparty. Therefore, a larger collateral buffer is required. The relationship does not increase linearly, because initial margin scales with the square root of time.</a:t>
          </a:r>
        </a:p>
        <a:p>
          <a:endParaRPr lang="es-ES" sz="1100"/>
        </a:p>
        <a:p>
          <a:r>
            <a:rPr lang="es-ES" sz="1100"/>
            <a:t>Conclusion</a:t>
          </a:r>
        </a:p>
        <a:p>
          <a:endParaRPr lang="es-ES" sz="1100"/>
        </a:p>
        <a:p>
          <a:r>
            <a:rPr lang="es-ES" sz="1100"/>
            <a:t>This dashboard summarises the core logic of collateral in OTC derivatives. Variation margin reduces counterparty risk by adjusting collateral daily to the current value of the contract, while initial margin acts as an additional buffer designed to cover potential losses between default and close-out. However, collateral does not eliminate risk completely. In stressed scenarios, losses during the Margin Period of Risk may exceed the available initial margin, creating an uncovered loss. In addition, more conservative margin assumptions or longer MPoR periods increase the amount of collateral required, reducing counterparty risk but increasing liquidity pressure.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8007E0-8632-4A5B-B267-3E9B7E66077A}" name="Table1" displayName="Table1" ref="B5:E19" totalsRowShown="0" headerRowDxfId="32" dataDxfId="31" headerRowBorderDxfId="29" tableBorderDxfId="30" totalsRowBorderDxfId="28">
  <autoFilter ref="B5:E19" xr:uid="{6E8007E0-8632-4A5B-B267-3E9B7E66077A}"/>
  <tableColumns count="4">
    <tableColumn id="1" xr3:uid="{F38618BD-C4A0-43BE-82FD-5C3DFA7A8BCC}" name="Category" dataDxfId="27"/>
    <tableColumn id="2" xr3:uid="{AE062142-A0BB-4BEF-93B9-E906C85C0873}" name="Input" dataDxfId="26"/>
    <tableColumn id="3" xr3:uid="{BE78DEB5-CDB3-4F53-A3E8-388A017C64FF}" name="Value" dataDxfId="25"/>
    <tableColumn id="4" xr3:uid="{A30D2B15-1267-473A-AB06-99EB133F62FC}" name="Unit / Description"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FEB32-2C3C-41FD-B0F5-FF27075A5674}" name="Table6" displayName="Table6" ref="E2:H255" totalsRowShown="0" headerRowDxfId="23">
  <autoFilter ref="E2:H255" xr:uid="{9C3FEB32-2C3C-41FD-B0F5-FF27075A5674}"/>
  <tableColumns count="4">
    <tableColumn id="1" xr3:uid="{BA2F1A4C-51B7-4E2E-BA3F-0004EDB70397}" name="Day">
      <calculatedColumnFormula>+E2+1</calculatedColumnFormula>
    </tableColumn>
    <tableColumn id="2" xr3:uid="{E19D69D1-D547-48F0-9F23-1EA611AB2DC2}" name="Random Shock">
      <calculatedColumnFormula>_xlfn.NORM.S.INV(RAND())</calculatedColumnFormula>
    </tableColumn>
    <tableColumn id="3" xr3:uid="{8779FA25-B94F-4DFD-9BEA-E0DFE13815AD}" name="Daily Return">
      <calculatedColumnFormula>(Inputs!$D$8-0.5*Inputs!$D$7^2)/Inputs!$D$9+Inputs!$D$7*SQRT(1/Inputs!$D$9)*F3</calculatedColumnFormula>
    </tableColumn>
    <tableColumn id="4" xr3:uid="{DE95A54F-B879-4516-9FCD-37113F8035BA}" name="Underlying Price">
      <calculatedColumnFormula>H2*EXP(G3)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C3BA41-B585-4DF4-B7CE-C95A9BABDB65}" name="Table7" displayName="Table7" ref="G2:L255" totalsRowShown="0" headerRowDxfId="13" headerRowBorderDxfId="21" tableBorderDxfId="22" totalsRowBorderDxfId="20">
  <autoFilter ref="G2:L255" xr:uid="{0FC3BA41-B585-4DF4-B7CE-C95A9BABDB65}"/>
  <tableColumns count="6">
    <tableColumn id="1" xr3:uid="{B3DBC1DB-E310-494C-BD93-A52247994580}" name="Day" dataDxfId="19">
      <calculatedColumnFormula>Simulation!E3</calculatedColumnFormula>
    </tableColumn>
    <tableColumn id="2" xr3:uid="{CBC21217-9F53-4C6C-B2F5-1AB6A1AC1E2F}" name="Underlying Price" dataDxfId="18">
      <calculatedColumnFormula>Simulation!H3</calculatedColumnFormula>
    </tableColumn>
    <tableColumn id="3" xr3:uid="{B89A82AB-BB34-4B3A-9DAD-5D1CAB13F7A8}" name="Forward Strike" dataDxfId="17">
      <calculatedColumnFormula>Inputs!$D$13</calculatedColumnFormula>
    </tableColumn>
    <tableColumn id="4" xr3:uid="{DD4F6BF8-7281-4A36-9EC2-91367BEA9F34}" name="Mark-to-Market" dataDxfId="16">
      <calculatedColumnFormula>(Simulation!H3-Inputs!$D$13)/Inputs!$D$13*Inputs!$D$12</calculatedColumnFormula>
    </tableColumn>
    <tableColumn id="5" xr3:uid="{7F3D5CE4-154D-4264-9715-2108990B5D19}" name="Variation Margin" dataDxfId="15">
      <calculatedColumnFormula>J3-J2</calculatedColumnFormula>
    </tableColumn>
    <tableColumn id="6" xr3:uid="{62CC8DA9-C5A0-49E4-B6AC-3926227FE919}" name="Cumulative VM" dataDxfId="14">
      <calculatedColumnFormula>+L2+K3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D75B8D-BD09-4967-AC14-C13624EEDA8C}" name="Table2" displayName="Table2" ref="E16:G21" totalsRowShown="0" headerRowDxfId="9" dataDxfId="8" headerRowBorderDxfId="6" tableBorderDxfId="7" totalsRowBorderDxfId="5">
  <autoFilter ref="E16:G21" xr:uid="{5DD75B8D-BD09-4967-AC14-C13624EEDA8C}"/>
  <tableColumns count="3">
    <tableColumn id="1" xr3:uid="{9689C13C-2DA9-4758-ACF5-A4F4036EA104}" name="Input" dataDxfId="12"/>
    <tableColumn id="2" xr3:uid="{AC22FDD0-6A1E-4D44-AC6E-72958E299F19}" name="Value" dataDxfId="11"/>
    <tableColumn id="3" xr3:uid="{9118FB21-5576-467C-9B84-8D89F43426C1}" name="Description"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D6A315-0058-4FBF-97CE-67CB4EC24C97}" name="Table3" displayName="Table3" ref="M11:O19" totalsRowShown="0" headerRowDxfId="4" dataDxfId="3">
  <autoFilter ref="M11:O19" xr:uid="{70D6A315-0058-4FBF-97CE-67CB4EC24C97}"/>
  <tableColumns count="3">
    <tableColumn id="1" xr3:uid="{4DC70E65-28A3-4774-A2B3-A95B6E7A7D19}" name="Input" dataDxfId="2"/>
    <tableColumn id="2" xr3:uid="{39FB12FD-809E-404D-B9A6-A87626B01AC6}" name="Value" dataDxfId="0"/>
    <tableColumn id="3" xr3:uid="{73F35669-67CB-460E-9296-085E35B77C7C}" name="Description"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988D7A-2838-426D-AB59-D3193F409974}" name="Table4" displayName="Table4" ref="B24:H27" totalsRowShown="0" headerRowDxfId="46" dataDxfId="47">
  <autoFilter ref="B24:H27" xr:uid="{50988D7A-2838-426D-AB59-D3193F409974}"/>
  <tableColumns count="7">
    <tableColumn id="1" xr3:uid="{4EDC572A-1E49-476C-9C87-DBF79DF585B8}" name="Confidence Level" dataDxfId="45"/>
    <tableColumn id="2" xr3:uid="{D419947D-4BD5-4414-B92E-EAE9E74389A6}" name="Z-score" dataDxfId="44">
      <calculatedColumnFormula>_xlfn.NORM.S.INV(B25)</calculatedColumnFormula>
    </tableColumn>
    <tableColumn id="3" xr3:uid="{566B127C-8CAA-46D2-9C8B-5EEE3007222D}" name="Daily MTM Volatility" dataDxfId="43">
      <calculatedColumnFormula>'Initial Margin'!$F$20</calculatedColumnFormula>
    </tableColumn>
    <tableColumn id="4" xr3:uid="{E7B75188-A113-4CF0-A15B-570136A31134}" name="MPoR" dataDxfId="48"/>
    <tableColumn id="5" xr3:uid="{4BD3C28C-4832-433A-85F5-BD3CEE8BC8F5}" name="Initial Margin" dataDxfId="42">
      <calculatedColumnFormula>C25*D25*SQRT(E25)</calculatedColumnFormula>
    </tableColumn>
    <tableColumn id="6" xr3:uid="{A13DE5B9-0FF5-46EB-81BC-A8BD3FA2568C}" name="Loss during MPoR" dataDxfId="41">
      <calculatedColumnFormula>'Default Scenario'!$N$17</calculatedColumnFormula>
    </tableColumn>
    <tableColumn id="7" xr3:uid="{B357BF04-8C05-4228-A6DE-6C3160F56E1A}" name="Uncovered Loss" dataDxfId="40">
      <calculatedColumnFormula>MAX(G25-F25,0)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6A0081-A7CA-4AD5-8DA3-0DC5B50D77AD}" name="Table5" displayName="Table5" ref="K9:O13" totalsRowShown="0" headerRowDxfId="37" dataDxfId="36">
  <autoFilter ref="K9:O13" xr:uid="{DC6A0081-A7CA-4AD5-8DA3-0DC5B50D77AD}"/>
  <tableColumns count="5">
    <tableColumn id="1" xr3:uid="{DDC8C2E7-6E23-4395-BAD9-6B39492C29AD}" name="MPoR" dataDxfId="39"/>
    <tableColumn id="2" xr3:uid="{487BEB41-CBC5-449F-B32B-1345844263E0}" name="Confidence Level" dataDxfId="38"/>
    <tableColumn id="3" xr3:uid="{DEB56163-38E4-4B81-9C68-79AC0A6CD952}" name="Z-score" dataDxfId="35">
      <calculatedColumnFormula>_xlfn.NORM.S.INV(L10)</calculatedColumnFormula>
    </tableColumn>
    <tableColumn id="4" xr3:uid="{D97E965D-2BF9-41B6-9930-6E775A61EB42}" name="Daily MTM Volatility" dataDxfId="34">
      <calculatedColumnFormula>'Initial Margin'!$F$20</calculatedColumnFormula>
    </tableColumn>
    <tableColumn id="5" xr3:uid="{47CA4CBE-4E0B-4D7D-8DAC-C41EC19DFAF2}" name="Initial Margin" dataDxfId="33">
      <calculatedColumnFormula>M10*N10*SQRT(K10)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34CA-43BD-400D-977D-F20B5E185890}">
  <dimension ref="E2:H4"/>
  <sheetViews>
    <sheetView showGridLines="0" zoomScale="70" zoomScaleNormal="70" workbookViewId="0">
      <selection activeCell="V40" sqref="V40"/>
    </sheetView>
  </sheetViews>
  <sheetFormatPr defaultRowHeight="15"/>
  <sheetData>
    <row r="2" spans="5:8" ht="21">
      <c r="H2" s="1" t="s">
        <v>0</v>
      </c>
    </row>
    <row r="4" spans="5:8">
      <c r="E4"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9BB5-C7E6-4C6F-8E19-885EB60CE57F}">
  <dimension ref="B5:E19"/>
  <sheetViews>
    <sheetView showGridLines="0" workbookViewId="0">
      <selection activeCell="G15" sqref="G15"/>
    </sheetView>
  </sheetViews>
  <sheetFormatPr defaultColWidth="17.5703125" defaultRowHeight="28.5" customHeight="1"/>
  <cols>
    <col min="1" max="3" width="17.5703125" style="57"/>
    <col min="4" max="4" width="19" style="57" customWidth="1"/>
    <col min="5" max="16384" width="17.5703125" style="57"/>
  </cols>
  <sheetData>
    <row r="5" spans="2:5" ht="28.5" customHeight="1">
      <c r="B5" s="11" t="s">
        <v>2</v>
      </c>
      <c r="C5" s="12" t="s">
        <v>3</v>
      </c>
      <c r="D5" s="12" t="s">
        <v>4</v>
      </c>
      <c r="E5" s="13" t="s">
        <v>5</v>
      </c>
    </row>
    <row r="6" spans="2:5" ht="28.5" customHeight="1">
      <c r="B6" s="9" t="s">
        <v>6</v>
      </c>
      <c r="C6" s="7" t="s">
        <v>7</v>
      </c>
      <c r="D6" s="7">
        <v>100</v>
      </c>
      <c r="E6" s="10" t="s">
        <v>8</v>
      </c>
    </row>
    <row r="7" spans="2:5" ht="28.5" customHeight="1">
      <c r="B7" s="9" t="s">
        <v>6</v>
      </c>
      <c r="C7" s="7" t="s">
        <v>9</v>
      </c>
      <c r="D7" s="8">
        <v>0.2</v>
      </c>
      <c r="E7" s="10" t="s">
        <v>10</v>
      </c>
    </row>
    <row r="8" spans="2:5" ht="28.5" customHeight="1">
      <c r="B8" s="9" t="s">
        <v>6</v>
      </c>
      <c r="C8" s="7" t="s">
        <v>11</v>
      </c>
      <c r="D8" s="8">
        <v>0</v>
      </c>
      <c r="E8" s="10" t="s">
        <v>12</v>
      </c>
    </row>
    <row r="9" spans="2:5" ht="28.5" customHeight="1">
      <c r="B9" s="9" t="s">
        <v>6</v>
      </c>
      <c r="C9" s="7" t="s">
        <v>13</v>
      </c>
      <c r="D9" s="7">
        <v>252</v>
      </c>
      <c r="E9" s="10" t="s">
        <v>14</v>
      </c>
    </row>
    <row r="10" spans="2:5" ht="28.5" customHeight="1">
      <c r="B10" s="9" t="s">
        <v>15</v>
      </c>
      <c r="C10" s="7" t="s">
        <v>16</v>
      </c>
      <c r="D10" s="7">
        <v>252</v>
      </c>
      <c r="E10" s="10" t="s">
        <v>17</v>
      </c>
    </row>
    <row r="11" spans="2:5" ht="28.5" customHeight="1">
      <c r="B11" s="9" t="s">
        <v>18</v>
      </c>
      <c r="C11" s="7" t="s">
        <v>19</v>
      </c>
      <c r="D11" s="7" t="s">
        <v>20</v>
      </c>
      <c r="E11" s="10" t="s">
        <v>21</v>
      </c>
    </row>
    <row r="12" spans="2:5" ht="28.5" customHeight="1">
      <c r="B12" s="9" t="s">
        <v>18</v>
      </c>
      <c r="C12" s="7" t="s">
        <v>22</v>
      </c>
      <c r="D12" s="7">
        <v>1000000</v>
      </c>
      <c r="E12" s="10" t="s">
        <v>23</v>
      </c>
    </row>
    <row r="13" spans="2:5" ht="28.5" customHeight="1">
      <c r="B13" s="9" t="s">
        <v>18</v>
      </c>
      <c r="C13" s="7" t="s">
        <v>24</v>
      </c>
      <c r="D13" s="7">
        <v>100</v>
      </c>
      <c r="E13" s="10" t="s">
        <v>25</v>
      </c>
    </row>
    <row r="14" spans="2:5" ht="28.5" customHeight="1">
      <c r="B14" s="9" t="s">
        <v>26</v>
      </c>
      <c r="C14" s="7" t="s">
        <v>27</v>
      </c>
      <c r="D14" s="7" t="s">
        <v>28</v>
      </c>
      <c r="E14" s="10" t="s">
        <v>29</v>
      </c>
    </row>
    <row r="15" spans="2:5" ht="28.5" customHeight="1">
      <c r="B15" s="9" t="s">
        <v>26</v>
      </c>
      <c r="C15" s="7" t="s">
        <v>30</v>
      </c>
      <c r="D15" s="8">
        <v>0.99</v>
      </c>
      <c r="E15" s="10" t="s">
        <v>31</v>
      </c>
    </row>
    <row r="16" spans="2:5" ht="28.5" customHeight="1">
      <c r="B16" s="9" t="s">
        <v>26</v>
      </c>
      <c r="C16" s="7" t="s">
        <v>32</v>
      </c>
      <c r="D16" s="7">
        <v>10</v>
      </c>
      <c r="E16" s="10" t="s">
        <v>33</v>
      </c>
    </row>
    <row r="17" spans="2:5" ht="28.5" customHeight="1">
      <c r="B17" s="9" t="s">
        <v>26</v>
      </c>
      <c r="C17" s="7" t="s">
        <v>34</v>
      </c>
      <c r="D17" s="7" t="s">
        <v>35</v>
      </c>
      <c r="E17" s="10" t="s">
        <v>36</v>
      </c>
    </row>
    <row r="18" spans="2:5" ht="28.5" customHeight="1">
      <c r="B18" s="9" t="s">
        <v>37</v>
      </c>
      <c r="C18" s="7" t="s">
        <v>38</v>
      </c>
      <c r="D18" s="7">
        <v>180</v>
      </c>
      <c r="E18" s="10" t="s">
        <v>39</v>
      </c>
    </row>
    <row r="19" spans="2:5" ht="28.5" customHeight="1">
      <c r="B19" s="14" t="s">
        <v>40</v>
      </c>
      <c r="C19" s="15" t="s">
        <v>41</v>
      </c>
      <c r="D19" s="15" t="s">
        <v>42</v>
      </c>
      <c r="E19" s="16" t="s">
        <v>43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70FA-1A44-426A-AF73-67CF54149F52}">
  <dimension ref="B2:H255"/>
  <sheetViews>
    <sheetView showGridLines="0" zoomScale="85" zoomScaleNormal="85" workbookViewId="0">
      <selection activeCell="A28" sqref="A28"/>
    </sheetView>
  </sheetViews>
  <sheetFormatPr defaultColWidth="16.7109375" defaultRowHeight="15"/>
  <cols>
    <col min="6" max="6" width="19" bestFit="1" customWidth="1"/>
  </cols>
  <sheetData>
    <row r="2" spans="2:8">
      <c r="B2" s="29" t="s">
        <v>44</v>
      </c>
      <c r="C2" s="29"/>
      <c r="D2" s="25"/>
      <c r="E2" s="3" t="s">
        <v>45</v>
      </c>
      <c r="F2" s="3" t="s">
        <v>46</v>
      </c>
      <c r="G2" s="3" t="s">
        <v>47</v>
      </c>
      <c r="H2" s="3" t="s">
        <v>48</v>
      </c>
    </row>
    <row r="3" spans="2:8">
      <c r="E3">
        <v>0</v>
      </c>
      <c r="H3">
        <f>+Inputs!D6</f>
        <v>100</v>
      </c>
    </row>
    <row r="4" spans="2:8">
      <c r="E4">
        <f>+E3+1</f>
        <v>1</v>
      </c>
      <c r="F4">
        <f ca="1">_xlfn.NORM.S.INV(RAND())</f>
        <v>1.9946898603514134</v>
      </c>
      <c r="G4">
        <f ca="1">(Inputs!$D$8-0.5*Inputs!$D$7^2)/Inputs!$D$9+Inputs!$D$7*SQRT(1/Inputs!$D$9)*F4</f>
        <v>2.5051364983453957E-2</v>
      </c>
      <c r="H4">
        <f ca="1">H3*EXP(G4)</f>
        <v>102.53677871712287</v>
      </c>
    </row>
    <row r="5" spans="2:8">
      <c r="E5">
        <f t="shared" ref="E5:E68" si="0">+E4+1</f>
        <v>2</v>
      </c>
      <c r="F5">
        <f t="shared" ref="F5:F68" ca="1" si="1">_xlfn.NORM.S.INV(RAND())</f>
        <v>0.46651394985118455</v>
      </c>
      <c r="G5">
        <f ca="1">(Inputs!$D$8-0.5*Inputs!$D$7^2)/Inputs!$D$9+Inputs!$D$7*SQRT(1/Inputs!$D$9)*F5</f>
        <v>5.7981582275334559E-3</v>
      </c>
      <c r="H5">
        <f t="shared" ref="H5:H68" ca="1" si="2">H4*EXP(G5)</f>
        <v>103.13303009374984</v>
      </c>
    </row>
    <row r="6" spans="2:8">
      <c r="E6">
        <f t="shared" si="0"/>
        <v>3</v>
      </c>
      <c r="F6">
        <f t="shared" ca="1" si="1"/>
        <v>-0.40436129704211587</v>
      </c>
      <c r="G6">
        <f ca="1">(Inputs!$D$8-0.5*Inputs!$D$7^2)/Inputs!$D$9+Inputs!$D$7*SQRT(1/Inputs!$D$9)*F6</f>
        <v>-5.1738385640934439E-3</v>
      </c>
      <c r="H6">
        <f t="shared" ca="1" si="2"/>
        <v>102.60081443159967</v>
      </c>
    </row>
    <row r="7" spans="2:8">
      <c r="E7">
        <f t="shared" si="0"/>
        <v>4</v>
      </c>
      <c r="F7">
        <f t="shared" ca="1" si="1"/>
        <v>-1.1592221708109773</v>
      </c>
      <c r="G7">
        <f ca="1">(Inputs!$D$8-0.5*Inputs!$D$7^2)/Inputs!$D$9+Inputs!$D$7*SQRT(1/Inputs!$D$9)*F7</f>
        <v>-1.468419164240453E-2</v>
      </c>
      <c r="H7">
        <f t="shared" ca="1" si="2"/>
        <v>101.10521213922775</v>
      </c>
    </row>
    <row r="8" spans="2:8">
      <c r="E8">
        <f t="shared" si="0"/>
        <v>5</v>
      </c>
      <c r="F8">
        <f t="shared" ca="1" si="1"/>
        <v>0.49092348419983028</v>
      </c>
      <c r="G8">
        <f ca="1">(Inputs!$D$8-0.5*Inputs!$D$7^2)/Inputs!$D$9+Inputs!$D$7*SQRT(1/Inputs!$D$9)*F8</f>
        <v>6.1056894537496725E-3</v>
      </c>
      <c r="H8">
        <f t="shared" ca="1" si="2"/>
        <v>101.72441758113854</v>
      </c>
    </row>
    <row r="9" spans="2:8">
      <c r="E9">
        <f t="shared" si="0"/>
        <v>6</v>
      </c>
      <c r="F9">
        <f t="shared" ca="1" si="1"/>
        <v>-0.73903127197841267</v>
      </c>
      <c r="G9">
        <f ca="1">(Inputs!$D$8-0.5*Inputs!$D$7^2)/Inputs!$D$9+Inputs!$D$7*SQRT(1/Inputs!$D$9)*F9</f>
        <v>-9.3902839210537343E-3</v>
      </c>
      <c r="H9">
        <f t="shared" ca="1" si="2"/>
        <v>100.7736673120464</v>
      </c>
    </row>
    <row r="10" spans="2:8">
      <c r="E10">
        <f t="shared" si="0"/>
        <v>7</v>
      </c>
      <c r="F10">
        <f t="shared" ca="1" si="1"/>
        <v>-7.9436707001041638E-3</v>
      </c>
      <c r="G10">
        <f ca="1">(Inputs!$D$8-0.5*Inputs!$D$7^2)/Inputs!$D$9+Inputs!$D$7*SQRT(1/Inputs!$D$9)*F10</f>
        <v>-1.7944592302920304E-4</v>
      </c>
      <c r="H10">
        <f t="shared" ca="1" si="2"/>
        <v>100.75558551069985</v>
      </c>
    </row>
    <row r="11" spans="2:8">
      <c r="E11">
        <f t="shared" si="0"/>
        <v>8</v>
      </c>
      <c r="F11">
        <f t="shared" ca="1" si="1"/>
        <v>0.5736674809484964</v>
      </c>
      <c r="G11">
        <f ca="1">(Inputs!$D$8-0.5*Inputs!$D$7^2)/Inputs!$D$9+Inputs!$D$7*SQRT(1/Inputs!$D$9)*F11</f>
        <v>7.1481658246092331E-3</v>
      </c>
      <c r="H11">
        <f t="shared" ca="1" si="2"/>
        <v>101.47838340560379</v>
      </c>
    </row>
    <row r="12" spans="2:8">
      <c r="E12">
        <f t="shared" si="0"/>
        <v>9</v>
      </c>
      <c r="F12">
        <f t="shared" ca="1" si="1"/>
        <v>-0.95589222165931764</v>
      </c>
      <c r="G12">
        <f ca="1">(Inputs!$D$8-0.5*Inputs!$D$7^2)/Inputs!$D$9+Inputs!$D$7*SQRT(1/Inputs!$D$9)*F12</f>
        <v>-1.2122475073134529E-2</v>
      </c>
      <c r="H12">
        <f t="shared" ca="1" si="2"/>
        <v>100.25564054117201</v>
      </c>
    </row>
    <row r="13" spans="2:8">
      <c r="E13">
        <f t="shared" si="0"/>
        <v>10</v>
      </c>
      <c r="F13">
        <f t="shared" ca="1" si="1"/>
        <v>0.86428531272206277</v>
      </c>
      <c r="G13">
        <f ca="1">(Inputs!$D$8-0.5*Inputs!$D$7^2)/Inputs!$D$9+Inputs!$D$7*SQRT(1/Inputs!$D$9)*F13</f>
        <v>1.0809606345721907E-2</v>
      </c>
      <c r="H13">
        <f t="shared" ca="1" si="2"/>
        <v>101.34524302656584</v>
      </c>
    </row>
    <row r="14" spans="2:8">
      <c r="E14">
        <f t="shared" si="0"/>
        <v>11</v>
      </c>
      <c r="F14">
        <f t="shared" ca="1" si="1"/>
        <v>1.0360798545671295</v>
      </c>
      <c r="G14">
        <f ca="1">(Inputs!$D$8-0.5*Inputs!$D$7^2)/Inputs!$D$9+Inputs!$D$7*SQRT(1/Inputs!$D$9)*F14</f>
        <v>1.2974014128199651E-2</v>
      </c>
      <c r="H14">
        <f t="shared" ca="1" si="2"/>
        <v>102.66866411970776</v>
      </c>
    </row>
    <row r="15" spans="2:8">
      <c r="E15">
        <f t="shared" si="0"/>
        <v>12</v>
      </c>
      <c r="F15">
        <f t="shared" ca="1" si="1"/>
        <v>-1.8842868661301333</v>
      </c>
      <c r="G15">
        <f ca="1">(Inputs!$D$8-0.5*Inputs!$D$7^2)/Inputs!$D$9+Inputs!$D$7*SQRT(1/Inputs!$D$9)*F15</f>
        <v>-2.3819148157867884E-2</v>
      </c>
      <c r="H15">
        <f t="shared" ca="1" si="2"/>
        <v>100.25207875373243</v>
      </c>
    </row>
    <row r="16" spans="2:8">
      <c r="E16">
        <f t="shared" si="0"/>
        <v>13</v>
      </c>
      <c r="F16">
        <f t="shared" ca="1" si="1"/>
        <v>1.9918502495990755</v>
      </c>
      <c r="G16">
        <f ca="1">(Inputs!$D$8-0.5*Inputs!$D$7^2)/Inputs!$D$9+Inputs!$D$7*SQRT(1/Inputs!$D$9)*F16</f>
        <v>2.5015589250735333E-2</v>
      </c>
      <c r="H16">
        <f t="shared" ca="1" si="2"/>
        <v>102.79157464134788</v>
      </c>
    </row>
    <row r="17" spans="5:8">
      <c r="E17">
        <f t="shared" si="0"/>
        <v>14</v>
      </c>
      <c r="F17">
        <f t="shared" ca="1" si="1"/>
        <v>-2.1974073236888644E-2</v>
      </c>
      <c r="G17">
        <f ca="1">(Inputs!$D$8-0.5*Inputs!$D$7^2)/Inputs!$D$9+Inputs!$D$7*SQRT(1/Inputs!$D$9)*F17</f>
        <v>-3.5621237972663876E-4</v>
      </c>
      <c r="H17">
        <f t="shared" ca="1" si="2"/>
        <v>102.75496553062537</v>
      </c>
    </row>
    <row r="18" spans="5:8">
      <c r="E18">
        <f t="shared" si="0"/>
        <v>15</v>
      </c>
      <c r="F18">
        <f t="shared" ca="1" si="1"/>
        <v>0.32796859457014954</v>
      </c>
      <c r="G18">
        <f ca="1">(Inputs!$D$8-0.5*Inputs!$D$7^2)/Inputs!$D$9+Inputs!$D$7*SQRT(1/Inputs!$D$9)*F18</f>
        <v>4.0526508209777039E-3</v>
      </c>
      <c r="H18">
        <f t="shared" ca="1" si="2"/>
        <v>103.17224048978608</v>
      </c>
    </row>
    <row r="19" spans="5:8">
      <c r="E19">
        <f t="shared" si="0"/>
        <v>16</v>
      </c>
      <c r="F19">
        <f t="shared" ca="1" si="1"/>
        <v>0.43392058410160117</v>
      </c>
      <c r="G19">
        <f ca="1">(Inputs!$D$8-0.5*Inputs!$D$7^2)/Inputs!$D$9+Inputs!$D$7*SQRT(1/Inputs!$D$9)*F19</f>
        <v>5.3875204172288459E-3</v>
      </c>
      <c r="H19">
        <f t="shared" ca="1" si="2"/>
        <v>103.729583041014</v>
      </c>
    </row>
    <row r="20" spans="5:8">
      <c r="E20">
        <f t="shared" si="0"/>
        <v>17</v>
      </c>
      <c r="F20">
        <f t="shared" ca="1" si="1"/>
        <v>-1.4734608290809958</v>
      </c>
      <c r="G20">
        <f ca="1">(Inputs!$D$8-0.5*Inputs!$D$7^2)/Inputs!$D$9+Inputs!$D$7*SQRT(1/Inputs!$D$9)*F20</f>
        <v>-1.8643226604809666E-2</v>
      </c>
      <c r="H20">
        <f t="shared" ca="1" si="2"/>
        <v>101.81364405434114</v>
      </c>
    </row>
    <row r="21" spans="5:8">
      <c r="E21">
        <f t="shared" si="0"/>
        <v>18</v>
      </c>
      <c r="F21">
        <f t="shared" ca="1" si="1"/>
        <v>2.6158166269274643</v>
      </c>
      <c r="G21">
        <f ca="1">(Inputs!$D$8-0.5*Inputs!$D$7^2)/Inputs!$D$9+Inputs!$D$7*SQRT(1/Inputs!$D$9)*F21</f>
        <v>3.2876826683482033E-2</v>
      </c>
      <c r="H21">
        <f t="shared" ca="1" si="2"/>
        <v>105.21658604044309</v>
      </c>
    </row>
    <row r="22" spans="5:8">
      <c r="E22">
        <f t="shared" si="0"/>
        <v>19</v>
      </c>
      <c r="F22">
        <f t="shared" ca="1" si="1"/>
        <v>-0.54936425765958652</v>
      </c>
      <c r="G22">
        <f ca="1">(Inputs!$D$8-0.5*Inputs!$D$7^2)/Inputs!$D$9+Inputs!$D$7*SQRT(1/Inputs!$D$9)*F22</f>
        <v>-7.0007041505787777E-3</v>
      </c>
      <c r="H22">
        <f t="shared" ca="1" si="2"/>
        <v>104.48256816866106</v>
      </c>
    </row>
    <row r="23" spans="5:8">
      <c r="E23">
        <f t="shared" si="0"/>
        <v>20</v>
      </c>
      <c r="F23">
        <f t="shared" ca="1" si="1"/>
        <v>-0.1225270008908193</v>
      </c>
      <c r="G23">
        <f ca="1">(Inputs!$D$8-0.5*Inputs!$D$7^2)/Inputs!$D$9+Inputs!$D$7*SQRT(1/Inputs!$D$9)*F23</f>
        <v>-1.6230601900684006E-3</v>
      </c>
      <c r="H23">
        <f t="shared" ca="1" si="2"/>
        <v>104.31312421777349</v>
      </c>
    </row>
    <row r="24" spans="5:8">
      <c r="E24">
        <f t="shared" si="0"/>
        <v>21</v>
      </c>
      <c r="F24">
        <f t="shared" ca="1" si="1"/>
        <v>-1.1049196588085388</v>
      </c>
      <c r="G24">
        <f ca="1">(Inputs!$D$8-0.5*Inputs!$D$7^2)/Inputs!$D$9+Inputs!$D$7*SQRT(1/Inputs!$D$9)*F24</f>
        <v>-1.4000044298001899E-2</v>
      </c>
      <c r="H24">
        <f t="shared" ca="1" si="2"/>
        <v>102.86291106891179</v>
      </c>
    </row>
    <row r="25" spans="5:8">
      <c r="E25">
        <f t="shared" si="0"/>
        <v>22</v>
      </c>
      <c r="F25">
        <f t="shared" ca="1" si="1"/>
        <v>0.51056190878335339</v>
      </c>
      <c r="G25">
        <f ca="1">(Inputs!$D$8-0.5*Inputs!$D$7^2)/Inputs!$D$9+Inputs!$D$7*SQRT(1/Inputs!$D$9)*F25</f>
        <v>6.3531103470310987E-3</v>
      </c>
      <c r="H25">
        <f t="shared" ca="1" si="2"/>
        <v>103.51849077361059</v>
      </c>
    </row>
    <row r="26" spans="5:8">
      <c r="E26">
        <f t="shared" si="0"/>
        <v>23</v>
      </c>
      <c r="F26">
        <f t="shared" ca="1" si="1"/>
        <v>1.1067918094612976</v>
      </c>
      <c r="G26">
        <f ca="1">(Inputs!$D$8-0.5*Inputs!$D$7^2)/Inputs!$D$9+Inputs!$D$7*SQRT(1/Inputs!$D$9)*F26</f>
        <v>1.3864901020433867E-2</v>
      </c>
      <c r="H26">
        <f t="shared" ca="1" si="2"/>
        <v>104.9637605102922</v>
      </c>
    </row>
    <row r="27" spans="5:8">
      <c r="E27">
        <f t="shared" si="0"/>
        <v>24</v>
      </c>
      <c r="F27">
        <f t="shared" ca="1" si="1"/>
        <v>-0.86000653058447918</v>
      </c>
      <c r="G27">
        <f ca="1">(Inputs!$D$8-0.5*Inputs!$D$7^2)/Inputs!$D$9+Inputs!$D$7*SQRT(1/Inputs!$D$9)*F27</f>
        <v>-1.0914428916593633E-2</v>
      </c>
      <c r="H27">
        <f t="shared" ca="1" si="2"/>
        <v>103.82437021535247</v>
      </c>
    </row>
    <row r="28" spans="5:8">
      <c r="E28">
        <f t="shared" si="0"/>
        <v>25</v>
      </c>
      <c r="F28">
        <f t="shared" ca="1" si="1"/>
        <v>2.0541911359873049</v>
      </c>
      <c r="G28">
        <f ca="1">(Inputs!$D$8-0.5*Inputs!$D$7^2)/Inputs!$D$9+Inputs!$D$7*SQRT(1/Inputs!$D$9)*F28</f>
        <v>2.5801010593090506E-2</v>
      </c>
      <c r="H28">
        <f t="shared" ca="1" si="2"/>
        <v>106.53800055851717</v>
      </c>
    </row>
    <row r="29" spans="5:8">
      <c r="E29">
        <f t="shared" si="0"/>
        <v>26</v>
      </c>
      <c r="F29">
        <f t="shared" ca="1" si="1"/>
        <v>0.26785004149605368</v>
      </c>
      <c r="G29">
        <f ca="1">(Inputs!$D$8-0.5*Inputs!$D$7^2)/Inputs!$D$9+Inputs!$D$7*SQRT(1/Inputs!$D$9)*F29</f>
        <v>3.295228246620107E-3</v>
      </c>
      <c r="H29">
        <f t="shared" ca="1" si="2"/>
        <v>106.88964664615987</v>
      </c>
    </row>
    <row r="30" spans="5:8">
      <c r="E30">
        <f t="shared" si="0"/>
        <v>27</v>
      </c>
      <c r="F30">
        <f t="shared" ca="1" si="1"/>
        <v>1.0838752328590373</v>
      </c>
      <c r="G30">
        <f ca="1">(Inputs!$D$8-0.5*Inputs!$D$7^2)/Inputs!$D$9+Inputs!$D$7*SQRT(1/Inputs!$D$9)*F30</f>
        <v>1.3576179293812237E-2</v>
      </c>
      <c r="H30">
        <f t="shared" ca="1" si="2"/>
        <v>108.3506949397384</v>
      </c>
    </row>
    <row r="31" spans="5:8">
      <c r="E31">
        <f t="shared" si="0"/>
        <v>28</v>
      </c>
      <c r="F31">
        <f t="shared" ca="1" si="1"/>
        <v>3.1026655926290905E-2</v>
      </c>
      <c r="G31">
        <f ca="1">(Inputs!$D$8-0.5*Inputs!$D$7^2)/Inputs!$D$9+Inputs!$D$7*SQRT(1/Inputs!$D$9)*F31</f>
        <v>3.115340425155593E-4</v>
      </c>
      <c r="H31">
        <f t="shared" ca="1" si="2"/>
        <v>108.3844551281933</v>
      </c>
    </row>
    <row r="32" spans="5:8">
      <c r="E32">
        <f t="shared" si="0"/>
        <v>29</v>
      </c>
      <c r="F32">
        <f t="shared" ca="1" si="1"/>
        <v>0.24396799437242656</v>
      </c>
      <c r="G32">
        <f ca="1">(Inputs!$D$8-0.5*Inputs!$D$7^2)/Inputs!$D$9+Inputs!$D$7*SQRT(1/Inputs!$D$9)*F32</f>
        <v>2.9943427347713315E-3</v>
      </c>
      <c r="H32">
        <f t="shared" ca="1" si="2"/>
        <v>108.7094817116115</v>
      </c>
    </row>
    <row r="33" spans="5:8">
      <c r="E33">
        <f t="shared" si="0"/>
        <v>30</v>
      </c>
      <c r="F33">
        <f t="shared" ca="1" si="1"/>
        <v>-1.0470190171438074</v>
      </c>
      <c r="G33">
        <f ca="1">(Inputs!$D$8-0.5*Inputs!$D$7^2)/Inputs!$D$9+Inputs!$D$7*SQRT(1/Inputs!$D$9)*F33</f>
        <v>-1.3270564780878355E-2</v>
      </c>
      <c r="H33">
        <f t="shared" ca="1" si="2"/>
        <v>107.27637558780165</v>
      </c>
    </row>
    <row r="34" spans="5:8">
      <c r="E34">
        <f t="shared" si="0"/>
        <v>31</v>
      </c>
      <c r="F34">
        <f t="shared" ca="1" si="1"/>
        <v>1.2219061381219993</v>
      </c>
      <c r="G34">
        <f ca="1">(Inputs!$D$8-0.5*Inputs!$D$7^2)/Inputs!$D$9+Inputs!$D$7*SQRT(1/Inputs!$D$9)*F34</f>
        <v>1.5315205239368971E-2</v>
      </c>
      <c r="H34">
        <f t="shared" ca="1" si="2"/>
        <v>108.93198090405187</v>
      </c>
    </row>
    <row r="35" spans="5:8">
      <c r="E35">
        <f t="shared" si="0"/>
        <v>32</v>
      </c>
      <c r="F35">
        <f t="shared" ca="1" si="1"/>
        <v>1.418446295150241</v>
      </c>
      <c r="G35">
        <f ca="1">(Inputs!$D$8-0.5*Inputs!$D$7^2)/Inputs!$D$9+Inputs!$D$7*SQRT(1/Inputs!$D$9)*F35</f>
        <v>1.7791378468579977E-2</v>
      </c>
      <c r="H35">
        <f t="shared" ca="1" si="2"/>
        <v>110.88737399428754</v>
      </c>
    </row>
    <row r="36" spans="5:8">
      <c r="E36">
        <f t="shared" si="0"/>
        <v>33</v>
      </c>
      <c r="F36">
        <f t="shared" ca="1" si="1"/>
        <v>-1.2450514539077659</v>
      </c>
      <c r="G36">
        <f ca="1">(Inputs!$D$8-0.5*Inputs!$D$7^2)/Inputs!$D$9+Inputs!$D$7*SQRT(1/Inputs!$D$9)*F36</f>
        <v>-1.5765538967552443E-2</v>
      </c>
      <c r="H36">
        <f t="shared" ca="1" si="2"/>
        <v>109.15288329473786</v>
      </c>
    </row>
    <row r="37" spans="5:8">
      <c r="E37">
        <f t="shared" si="0"/>
        <v>34</v>
      </c>
      <c r="F37">
        <f t="shared" ca="1" si="1"/>
        <v>1.7834138365315806</v>
      </c>
      <c r="G37">
        <f ca="1">(Inputs!$D$8-0.5*Inputs!$D$7^2)/Inputs!$D$9+Inputs!$D$7*SQRT(1/Inputs!$D$9)*F37</f>
        <v>2.2389537283369024E-2</v>
      </c>
      <c r="H37">
        <f t="shared" ca="1" si="2"/>
        <v>111.62432987549147</v>
      </c>
    </row>
    <row r="38" spans="5:8">
      <c r="E38">
        <f t="shared" si="0"/>
        <v>35</v>
      </c>
      <c r="F38">
        <f t="shared" ca="1" si="1"/>
        <v>1.0599956229925385</v>
      </c>
      <c r="G38">
        <f ca="1">(Inputs!$D$8-0.5*Inputs!$D$7^2)/Inputs!$D$9+Inputs!$D$7*SQRT(1/Inputs!$D$9)*F38</f>
        <v>1.3275324488516997E-2</v>
      </c>
      <c r="H38">
        <f t="shared" ca="1" si="2"/>
        <v>113.11605876015372</v>
      </c>
    </row>
    <row r="39" spans="5:8">
      <c r="E39">
        <f t="shared" si="0"/>
        <v>36</v>
      </c>
      <c r="F39">
        <f t="shared" ca="1" si="1"/>
        <v>-0.17386869253740697</v>
      </c>
      <c r="G39">
        <f ca="1">(Inputs!$D$8-0.5*Inputs!$D$7^2)/Inputs!$D$9+Inputs!$D$7*SQRT(1/Inputs!$D$9)*F39</f>
        <v>-2.269904704288559E-3</v>
      </c>
      <c r="H39">
        <f t="shared" ca="1" si="2"/>
        <v>112.85958727927569</v>
      </c>
    </row>
    <row r="40" spans="5:8">
      <c r="E40">
        <f t="shared" si="0"/>
        <v>37</v>
      </c>
      <c r="F40">
        <f t="shared" ca="1" si="1"/>
        <v>1.3674902614822653</v>
      </c>
      <c r="G40">
        <f ca="1">(Inputs!$D$8-0.5*Inputs!$D$7^2)/Inputs!$D$9+Inputs!$D$7*SQRT(1/Inputs!$D$9)*F40</f>
        <v>1.7149392788181415E-2</v>
      </c>
      <c r="H40">
        <f t="shared" ca="1" si="2"/>
        <v>114.81175204729453</v>
      </c>
    </row>
    <row r="41" spans="5:8">
      <c r="E41">
        <f t="shared" si="0"/>
        <v>38</v>
      </c>
      <c r="F41">
        <f t="shared" ca="1" si="1"/>
        <v>-0.39422850602306703</v>
      </c>
      <c r="G41">
        <f ca="1">(Inputs!$D$8-0.5*Inputs!$D$7^2)/Inputs!$D$9+Inputs!$D$7*SQRT(1/Inputs!$D$9)*F41</f>
        <v>-5.0461773968391958E-3</v>
      </c>
      <c r="H41">
        <f t="shared" ca="1" si="2"/>
        <v>114.23385090137324</v>
      </c>
    </row>
    <row r="42" spans="5:8">
      <c r="E42">
        <f t="shared" si="0"/>
        <v>39</v>
      </c>
      <c r="F42">
        <f t="shared" ca="1" si="1"/>
        <v>2.2762282691162543</v>
      </c>
      <c r="G42">
        <f ca="1">(Inputs!$D$8-0.5*Inputs!$D$7^2)/Inputs!$D$9+Inputs!$D$7*SQRT(1/Inputs!$D$9)*F42</f>
        <v>2.8598415526809275E-2</v>
      </c>
      <c r="H42">
        <f t="shared" ca="1" si="2"/>
        <v>117.54792073990296</v>
      </c>
    </row>
    <row r="43" spans="5:8">
      <c r="E43">
        <f t="shared" si="0"/>
        <v>40</v>
      </c>
      <c r="F43">
        <f t="shared" ca="1" si="1"/>
        <v>-1.9754786381303423E-2</v>
      </c>
      <c r="G43">
        <f ca="1">(Inputs!$D$8-0.5*Inputs!$D$7^2)/Inputs!$D$9+Inputs!$D$7*SQRT(1/Inputs!$D$9)*F43</f>
        <v>-3.2825199349905294E-4</v>
      </c>
      <c r="H43">
        <f t="shared" ca="1" si="2"/>
        <v>117.50934173275283</v>
      </c>
    </row>
    <row r="44" spans="5:8">
      <c r="E44">
        <f t="shared" si="0"/>
        <v>41</v>
      </c>
      <c r="F44">
        <f t="shared" ca="1" si="1"/>
        <v>0.83716303535595671</v>
      </c>
      <c r="G44">
        <f ca="1">(Inputs!$D$8-0.5*Inputs!$D$7^2)/Inputs!$D$9+Inputs!$D$7*SQRT(1/Inputs!$D$9)*F44</f>
        <v>1.0467897770005561E-2</v>
      </c>
      <c r="H44">
        <f t="shared" ca="1" si="2"/>
        <v>118.7458781863274</v>
      </c>
    </row>
    <row r="45" spans="5:8">
      <c r="E45">
        <f t="shared" si="0"/>
        <v>42</v>
      </c>
      <c r="F45">
        <f t="shared" ca="1" si="1"/>
        <v>-1.5048976686107238</v>
      </c>
      <c r="G45">
        <f ca="1">(Inputs!$D$8-0.5*Inputs!$D$7^2)/Inputs!$D$9+Inputs!$D$7*SQRT(1/Inputs!$D$9)*F45</f>
        <v>-1.9039293554340645E-2</v>
      </c>
      <c r="H45">
        <f t="shared" ca="1" si="2"/>
        <v>116.50642698625967</v>
      </c>
    </row>
    <row r="46" spans="5:8">
      <c r="E46">
        <f t="shared" si="0"/>
        <v>43</v>
      </c>
      <c r="F46">
        <f t="shared" ca="1" si="1"/>
        <v>-1.1177240820827914</v>
      </c>
      <c r="G46">
        <f ca="1">(Inputs!$D$8-0.5*Inputs!$D$7^2)/Inputs!$D$9+Inputs!$D$7*SQRT(1/Inputs!$D$9)*F46</f>
        <v>-1.4161364867836564E-2</v>
      </c>
      <c r="H46">
        <f t="shared" ca="1" si="2"/>
        <v>114.86816436024574</v>
      </c>
    </row>
    <row r="47" spans="5:8">
      <c r="E47">
        <f t="shared" si="0"/>
        <v>44</v>
      </c>
      <c r="F47">
        <f t="shared" ca="1" si="1"/>
        <v>0.18736448593311852</v>
      </c>
      <c r="G47">
        <f ca="1">(Inputs!$D$8-0.5*Inputs!$D$7^2)/Inputs!$D$9+Inputs!$D$7*SQRT(1/Inputs!$D$9)*F47</f>
        <v>2.2812055601801181E-3</v>
      </c>
      <c r="H47">
        <f t="shared" ca="1" si="2"/>
        <v>115.13050136402326</v>
      </c>
    </row>
    <row r="48" spans="5:8">
      <c r="E48">
        <f t="shared" si="0"/>
        <v>45</v>
      </c>
      <c r="F48">
        <f t="shared" ca="1" si="1"/>
        <v>-0.62241520324872945</v>
      </c>
      <c r="G48">
        <f ca="1">(Inputs!$D$8-0.5*Inputs!$D$7^2)/Inputs!$D$9+Inputs!$D$7*SQRT(1/Inputs!$D$9)*F48</f>
        <v>-7.9210595556596496E-3</v>
      </c>
      <c r="H48">
        <f t="shared" ca="1" si="2"/>
        <v>114.22214811554493</v>
      </c>
    </row>
    <row r="49" spans="5:8">
      <c r="E49">
        <f t="shared" si="0"/>
        <v>46</v>
      </c>
      <c r="F49">
        <f t="shared" ca="1" si="1"/>
        <v>-0.40818458251723505</v>
      </c>
      <c r="G49">
        <f ca="1">(Inputs!$D$8-0.5*Inputs!$D$7^2)/Inputs!$D$9+Inputs!$D$7*SQRT(1/Inputs!$D$9)*F49</f>
        <v>-5.2220074334190184E-3</v>
      </c>
      <c r="H49">
        <f t="shared" ca="1" si="2"/>
        <v>113.62723388420393</v>
      </c>
    </row>
    <row r="50" spans="5:8">
      <c r="E50">
        <f t="shared" si="0"/>
        <v>47</v>
      </c>
      <c r="F50">
        <f t="shared" ca="1" si="1"/>
        <v>-0.27971509237908165</v>
      </c>
      <c r="G50">
        <f ca="1">(Inputs!$D$8-0.5*Inputs!$D$7^2)/Inputs!$D$9+Inputs!$D$7*SQRT(1/Inputs!$D$9)*F50</f>
        <v>-3.6034439954913101E-3</v>
      </c>
      <c r="H50">
        <f t="shared" ca="1" si="2"/>
        <v>113.21852133917716</v>
      </c>
    </row>
    <row r="51" spans="5:8">
      <c r="E51">
        <f t="shared" si="0"/>
        <v>48</v>
      </c>
      <c r="F51">
        <f t="shared" ca="1" si="1"/>
        <v>0.32149308442977254</v>
      </c>
      <c r="G51">
        <f ca="1">(Inputs!$D$8-0.5*Inputs!$D$7^2)/Inputs!$D$9+Inputs!$D$7*SQRT(1/Inputs!$D$9)*F51</f>
        <v>3.9710670617219201E-3</v>
      </c>
      <c r="H51">
        <f t="shared" ca="1" si="2"/>
        <v>113.66901355544664</v>
      </c>
    </row>
    <row r="52" spans="5:8">
      <c r="E52">
        <f t="shared" si="0"/>
        <v>49</v>
      </c>
      <c r="F52">
        <f t="shared" ca="1" si="1"/>
        <v>1.8006631807437576</v>
      </c>
      <c r="G52">
        <f ca="1">(Inputs!$D$8-0.5*Inputs!$D$7^2)/Inputs!$D$9+Inputs!$D$7*SQRT(1/Inputs!$D$9)*F52</f>
        <v>2.2606858593199365E-2</v>
      </c>
      <c r="H52">
        <f t="shared" ca="1" si="2"/>
        <v>116.26797941125935</v>
      </c>
    </row>
    <row r="53" spans="5:8">
      <c r="E53">
        <f t="shared" si="0"/>
        <v>50</v>
      </c>
      <c r="F53">
        <f t="shared" ca="1" si="1"/>
        <v>0.83821346602791535</v>
      </c>
      <c r="G53">
        <f ca="1">(Inputs!$D$8-0.5*Inputs!$D$7^2)/Inputs!$D$9+Inputs!$D$7*SQRT(1/Inputs!$D$9)*F53</f>
        <v>1.0481131952517549E-2</v>
      </c>
      <c r="H53">
        <f t="shared" ca="1" si="2"/>
        <v>117.49300807433568</v>
      </c>
    </row>
    <row r="54" spans="5:8">
      <c r="E54">
        <f t="shared" si="0"/>
        <v>51</v>
      </c>
      <c r="F54">
        <f t="shared" ca="1" si="1"/>
        <v>-5.2810585929808702E-2</v>
      </c>
      <c r="G54">
        <f ca="1">(Inputs!$D$8-0.5*Inputs!$D$7^2)/Inputs!$D$9+Inputs!$D$7*SQRT(1/Inputs!$D$9)*F54</f>
        <v>-7.4471592204070135E-4</v>
      </c>
      <c r="H54">
        <f t="shared" ca="1" si="2"/>
        <v>117.40554173332507</v>
      </c>
    </row>
    <row r="55" spans="5:8">
      <c r="E55">
        <f t="shared" si="0"/>
        <v>52</v>
      </c>
      <c r="F55">
        <f t="shared" ca="1" si="1"/>
        <v>-2.2257490792763646</v>
      </c>
      <c r="G55">
        <f ca="1">(Inputs!$D$8-0.5*Inputs!$D$7^2)/Inputs!$D$9+Inputs!$D$7*SQRT(1/Inputs!$D$9)*F55</f>
        <v>-2.8121167672680542E-2</v>
      </c>
      <c r="H55">
        <f t="shared" ca="1" si="2"/>
        <v>114.14995085761549</v>
      </c>
    </row>
    <row r="56" spans="5:8">
      <c r="E56">
        <f t="shared" si="0"/>
        <v>53</v>
      </c>
      <c r="F56">
        <f t="shared" ca="1" si="1"/>
        <v>0.90427054793357209</v>
      </c>
      <c r="G56">
        <f ca="1">(Inputs!$D$8-0.5*Inputs!$D$7^2)/Inputs!$D$9+Inputs!$D$7*SQRT(1/Inputs!$D$9)*F56</f>
        <v>1.1313372957550845E-2</v>
      </c>
      <c r="H56">
        <f t="shared" ca="1" si="2"/>
        <v>115.4487046150506</v>
      </c>
    </row>
    <row r="57" spans="5:8">
      <c r="E57">
        <f t="shared" si="0"/>
        <v>54</v>
      </c>
      <c r="F57">
        <f t="shared" ca="1" si="1"/>
        <v>0.37812662959584009</v>
      </c>
      <c r="G57">
        <f ca="1">(Inputs!$D$8-0.5*Inputs!$D$7^2)/Inputs!$D$9+Inputs!$D$7*SQRT(1/Inputs!$D$9)*F57</f>
        <v>4.6845826634998198E-3</v>
      </c>
      <c r="H57">
        <f t="shared" ca="1" si="2"/>
        <v>115.99080237472208</v>
      </c>
    </row>
    <row r="58" spans="5:8">
      <c r="E58">
        <f t="shared" si="0"/>
        <v>55</v>
      </c>
      <c r="F58">
        <f t="shared" ca="1" si="1"/>
        <v>1.6611668824566215</v>
      </c>
      <c r="G58">
        <f ca="1">(Inputs!$D$8-0.5*Inputs!$D$7^2)/Inputs!$D$9+Inputs!$D$7*SQRT(1/Inputs!$D$9)*F58</f>
        <v>2.0849370430904852E-2</v>
      </c>
      <c r="H58">
        <f t="shared" ca="1" si="2"/>
        <v>118.43452408720384</v>
      </c>
    </row>
    <row r="59" spans="5:8">
      <c r="E59">
        <f t="shared" si="0"/>
        <v>56</v>
      </c>
      <c r="F59">
        <f t="shared" ca="1" si="1"/>
        <v>-0.63305629127988527</v>
      </c>
      <c r="G59">
        <f ca="1">(Inputs!$D$8-0.5*Inputs!$D$7^2)/Inputs!$D$9+Inputs!$D$7*SQRT(1/Inputs!$D$9)*F59</f>
        <v>-8.0551246633243367E-3</v>
      </c>
      <c r="H59">
        <f t="shared" ca="1" si="2"/>
        <v>117.48435124923151</v>
      </c>
    </row>
    <row r="60" spans="5:8">
      <c r="E60">
        <f t="shared" si="0"/>
        <v>57</v>
      </c>
      <c r="F60">
        <f t="shared" ca="1" si="1"/>
        <v>-0.2339297500856593</v>
      </c>
      <c r="G60">
        <f ca="1">(Inputs!$D$8-0.5*Inputs!$D$7^2)/Inputs!$D$9+Inputs!$D$7*SQRT(1/Inputs!$D$9)*F60</f>
        <v>-3.0266029031086276E-3</v>
      </c>
      <c r="H60">
        <f t="shared" ca="1" si="2"/>
        <v>117.12931032563993</v>
      </c>
    </row>
    <row r="61" spans="5:8">
      <c r="E61">
        <f t="shared" si="0"/>
        <v>58</v>
      </c>
      <c r="F61">
        <f t="shared" ca="1" si="1"/>
        <v>-1.4030174188348907</v>
      </c>
      <c r="G61">
        <f ca="1">(Inputs!$D$8-0.5*Inputs!$D$7^2)/Inputs!$D$9+Inputs!$D$7*SQRT(1/Inputs!$D$9)*F61</f>
        <v>-1.7755723057121604E-2</v>
      </c>
      <c r="H61">
        <f t="shared" ca="1" si="2"/>
        <v>115.06794936289674</v>
      </c>
    </row>
    <row r="62" spans="5:8">
      <c r="E62">
        <f t="shared" si="0"/>
        <v>59</v>
      </c>
      <c r="F62">
        <f t="shared" ca="1" si="1"/>
        <v>-0.19607961637894733</v>
      </c>
      <c r="G62">
        <f ca="1">(Inputs!$D$8-0.5*Inputs!$D$7^2)/Inputs!$D$9+Inputs!$D$7*SQRT(1/Inputs!$D$9)*F62</f>
        <v>-2.5497360417824216E-3</v>
      </c>
      <c r="H62">
        <f t="shared" ca="1" si="2"/>
        <v>114.77493018467887</v>
      </c>
    </row>
    <row r="63" spans="5:8">
      <c r="E63">
        <f t="shared" si="0"/>
        <v>60</v>
      </c>
      <c r="F63">
        <f t="shared" ca="1" si="1"/>
        <v>-0.35656641660226684</v>
      </c>
      <c r="G63">
        <f ca="1">(Inputs!$D$8-0.5*Inputs!$D$7^2)/Inputs!$D$9+Inputs!$D$7*SQRT(1/Inputs!$D$9)*F63</f>
        <v>-4.5716796708272249E-3</v>
      </c>
      <c r="H63">
        <f t="shared" ca="1" si="2"/>
        <v>114.25141355659819</v>
      </c>
    </row>
    <row r="64" spans="5:8">
      <c r="E64">
        <f t="shared" si="0"/>
        <v>61</v>
      </c>
      <c r="F64">
        <f t="shared" ca="1" si="1"/>
        <v>8.8500526526556128E-2</v>
      </c>
      <c r="G64">
        <f ca="1">(Inputs!$D$8-0.5*Inputs!$D$7^2)/Inputs!$D$9+Inputs!$D$7*SQRT(1/Inputs!$D$9)*F64</f>
        <v>1.035636749623218E-3</v>
      </c>
      <c r="H64">
        <f t="shared" ca="1" si="2"/>
        <v>114.36979781013456</v>
      </c>
    </row>
    <row r="65" spans="5:8">
      <c r="E65">
        <f t="shared" si="0"/>
        <v>62</v>
      </c>
      <c r="F65">
        <f t="shared" ca="1" si="1"/>
        <v>0.7727021710333406</v>
      </c>
      <c r="G65">
        <f ca="1">(Inputs!$D$8-0.5*Inputs!$D$7^2)/Inputs!$D$9+Inputs!$D$7*SQRT(1/Inputs!$D$9)*F65</f>
        <v>9.6557672162249988E-3</v>
      </c>
      <c r="H65">
        <f t="shared" ca="1" si="2"/>
        <v>115.47947472373076</v>
      </c>
    </row>
    <row r="66" spans="5:8">
      <c r="E66">
        <f t="shared" si="0"/>
        <v>63</v>
      </c>
      <c r="F66">
        <f t="shared" ca="1" si="1"/>
        <v>-1.0297401706365572</v>
      </c>
      <c r="G66">
        <f ca="1">(Inputs!$D$8-0.5*Inputs!$D$7^2)/Inputs!$D$9+Inputs!$D$7*SQRT(1/Inputs!$D$9)*F66</f>
        <v>-1.3052871777067683E-2</v>
      </c>
      <c r="H66">
        <f t="shared" ca="1" si="2"/>
        <v>113.98193083371739</v>
      </c>
    </row>
    <row r="67" spans="5:8">
      <c r="E67">
        <f t="shared" si="0"/>
        <v>64</v>
      </c>
      <c r="F67">
        <f t="shared" ca="1" si="1"/>
        <v>0.47277269942295685</v>
      </c>
      <c r="G67">
        <f ca="1">(Inputs!$D$8-0.5*Inputs!$D$7^2)/Inputs!$D$9+Inputs!$D$7*SQRT(1/Inputs!$D$9)*F67</f>
        <v>5.8770110603198434E-3</v>
      </c>
      <c r="H67">
        <f t="shared" ca="1" si="2"/>
        <v>114.6537761894447</v>
      </c>
    </row>
    <row r="68" spans="5:8">
      <c r="E68">
        <f t="shared" si="0"/>
        <v>65</v>
      </c>
      <c r="F68">
        <f t="shared" ca="1" si="1"/>
        <v>1.144215005605079</v>
      </c>
      <c r="G68">
        <f ca="1">(Inputs!$D$8-0.5*Inputs!$D$7^2)/Inputs!$D$9+Inputs!$D$7*SQRT(1/Inputs!$D$9)*F68</f>
        <v>1.4336388974060711E-2</v>
      </c>
      <c r="H68">
        <f t="shared" ca="1" si="2"/>
        <v>116.30933634361952</v>
      </c>
    </row>
    <row r="69" spans="5:8">
      <c r="E69">
        <f t="shared" ref="E69:E132" si="3">+E68+1</f>
        <v>66</v>
      </c>
      <c r="F69">
        <f t="shared" ref="F69:F132" ca="1" si="4">_xlfn.NORM.S.INV(RAND())</f>
        <v>1.2438723723475416</v>
      </c>
      <c r="G69">
        <f ca="1">(Inputs!$D$8-0.5*Inputs!$D$7^2)/Inputs!$D$9+Inputs!$D$7*SQRT(1/Inputs!$D$9)*F69</f>
        <v>1.5591953777470783E-2</v>
      </c>
      <c r="H69">
        <f t="shared" ref="H69:H132" ca="1" si="5">H68*EXP(G69)</f>
        <v>118.13703783092191</v>
      </c>
    </row>
    <row r="70" spans="5:8">
      <c r="E70">
        <f t="shared" si="3"/>
        <v>67</v>
      </c>
      <c r="F70">
        <f t="shared" ca="1" si="4"/>
        <v>-0.67405011139144044</v>
      </c>
      <c r="G70">
        <f ca="1">(Inputs!$D$8-0.5*Inputs!$D$7^2)/Inputs!$D$9+Inputs!$D$7*SQRT(1/Inputs!$D$9)*F70</f>
        <v>-8.5715982504943038E-3</v>
      </c>
      <c r="H70">
        <f t="shared" ca="1" si="5"/>
        <v>117.12874213043877</v>
      </c>
    </row>
    <row r="71" spans="5:8">
      <c r="E71">
        <f t="shared" si="3"/>
        <v>68</v>
      </c>
      <c r="F71">
        <f t="shared" ca="1" si="4"/>
        <v>0.34147828460538271</v>
      </c>
      <c r="G71">
        <f ca="1">(Inputs!$D$8-0.5*Inputs!$D$7^2)/Inputs!$D$9+Inputs!$D$7*SQRT(1/Inputs!$D$9)*F71</f>
        <v>4.2228569168005345E-3</v>
      </c>
      <c r="H71">
        <f t="shared" ca="1" si="5"/>
        <v>117.624405871251</v>
      </c>
    </row>
    <row r="72" spans="5:8">
      <c r="E72">
        <f t="shared" si="3"/>
        <v>69</v>
      </c>
      <c r="F72">
        <f t="shared" ca="1" si="4"/>
        <v>-1.1003080828754408</v>
      </c>
      <c r="G72">
        <f ca="1">(Inputs!$D$8-0.5*Inputs!$D$7^2)/Inputs!$D$9+Inputs!$D$7*SQRT(1/Inputs!$D$9)*F72</f>
        <v>-1.3941943902425384E-2</v>
      </c>
      <c r="H72">
        <f t="shared" ca="1" si="5"/>
        <v>115.99587184719411</v>
      </c>
    </row>
    <row r="73" spans="5:8">
      <c r="E73">
        <f t="shared" si="3"/>
        <v>70</v>
      </c>
      <c r="F73">
        <f t="shared" ca="1" si="4"/>
        <v>-1.5592365647807491</v>
      </c>
      <c r="G73">
        <f ca="1">(Inputs!$D$8-0.5*Inputs!$D$7^2)/Inputs!$D$9+Inputs!$D$7*SQRT(1/Inputs!$D$9)*F73</f>
        <v>-1.9723899296167535E-2</v>
      </c>
      <c r="H73">
        <f t="shared" ca="1" si="5"/>
        <v>113.73039640164767</v>
      </c>
    </row>
    <row r="74" spans="5:8">
      <c r="E74">
        <f t="shared" si="3"/>
        <v>71</v>
      </c>
      <c r="F74">
        <f t="shared" ca="1" si="4"/>
        <v>0.37139136624920938</v>
      </c>
      <c r="G74">
        <f ca="1">(Inputs!$D$8-0.5*Inputs!$D$7^2)/Inputs!$D$9+Inputs!$D$7*SQRT(1/Inputs!$D$9)*F74</f>
        <v>4.5997263214535653E-3</v>
      </c>
      <c r="H74">
        <f t="shared" ca="1" si="5"/>
        <v>114.25473007075047</v>
      </c>
    </row>
    <row r="75" spans="5:8">
      <c r="E75">
        <f t="shared" si="3"/>
        <v>72</v>
      </c>
      <c r="F75">
        <f t="shared" ca="1" si="4"/>
        <v>-1.1396989601791523</v>
      </c>
      <c r="G75">
        <f ca="1">(Inputs!$D$8-0.5*Inputs!$D$7^2)/Inputs!$D$9+Inputs!$D$7*SQRT(1/Inputs!$D$9)*F75</f>
        <v>-1.4438222308474333E-2</v>
      </c>
      <c r="H75">
        <f t="shared" ca="1" si="5"/>
        <v>112.6169466698493</v>
      </c>
    </row>
    <row r="76" spans="5:8">
      <c r="E76">
        <f t="shared" si="3"/>
        <v>73</v>
      </c>
      <c r="F76">
        <f t="shared" ca="1" si="4"/>
        <v>-0.96025984276064802</v>
      </c>
      <c r="G76">
        <f ca="1">(Inputs!$D$8-0.5*Inputs!$D$7^2)/Inputs!$D$9+Inputs!$D$7*SQRT(1/Inputs!$D$9)*F76</f>
        <v>-1.2177501926730139E-2</v>
      </c>
      <c r="H76">
        <f t="shared" ca="1" si="5"/>
        <v>111.25386986436371</v>
      </c>
    </row>
    <row r="77" spans="5:8">
      <c r="E77">
        <f t="shared" si="3"/>
        <v>74</v>
      </c>
      <c r="F77">
        <f t="shared" ca="1" si="4"/>
        <v>-0.5937675559332547</v>
      </c>
      <c r="G77">
        <f ca="1">(Inputs!$D$8-0.5*Inputs!$D$7^2)/Inputs!$D$9+Inputs!$D$7*SQRT(1/Inputs!$D$9)*F77</f>
        <v>-7.5601331249747286E-3</v>
      </c>
      <c r="H77">
        <f t="shared" ca="1" si="5"/>
        <v>110.41594719199114</v>
      </c>
    </row>
    <row r="78" spans="5:8">
      <c r="E78">
        <f t="shared" si="3"/>
        <v>75</v>
      </c>
      <c r="F78">
        <f t="shared" ca="1" si="4"/>
        <v>1.2921007896627146</v>
      </c>
      <c r="G78">
        <f ca="1">(Inputs!$D$8-0.5*Inputs!$D$7^2)/Inputs!$D$9+Inputs!$D$7*SQRT(1/Inputs!$D$9)*F78</f>
        <v>1.6199574721957398E-2</v>
      </c>
      <c r="H78">
        <f t="shared" ca="1" si="5"/>
        <v>112.21920515003212</v>
      </c>
    </row>
    <row r="79" spans="5:8">
      <c r="E79">
        <f t="shared" si="3"/>
        <v>76</v>
      </c>
      <c r="F79">
        <f t="shared" ca="1" si="4"/>
        <v>0.83639148671328201</v>
      </c>
      <c r="G79">
        <f ca="1">(Inputs!$D$8-0.5*Inputs!$D$7^2)/Inputs!$D$9+Inputs!$D$7*SQRT(1/Inputs!$D$9)*F79</f>
        <v>1.0458177170801244E-2</v>
      </c>
      <c r="H79">
        <f t="shared" ca="1" si="5"/>
        <v>113.39897183103102</v>
      </c>
    </row>
    <row r="80" spans="5:8">
      <c r="E80">
        <f t="shared" si="3"/>
        <v>77</v>
      </c>
      <c r="F80">
        <f t="shared" ca="1" si="4"/>
        <v>2.3414307197608308</v>
      </c>
      <c r="G80">
        <f ca="1">(Inputs!$D$8-0.5*Inputs!$D$7^2)/Inputs!$D$9+Inputs!$D$7*SQRT(1/Inputs!$D$9)*F80</f>
        <v>2.9419889190035527E-2</v>
      </c>
      <c r="H80">
        <f t="shared" ca="1" si="5"/>
        <v>116.78471693772261</v>
      </c>
    </row>
    <row r="81" spans="5:8">
      <c r="E81">
        <f t="shared" si="3"/>
        <v>78</v>
      </c>
      <c r="F81">
        <f t="shared" ca="1" si="4"/>
        <v>0.46993878017527896</v>
      </c>
      <c r="G81">
        <f ca="1">(Inputs!$D$8-0.5*Inputs!$D$7^2)/Inputs!$D$9+Inputs!$D$7*SQRT(1/Inputs!$D$9)*F81</f>
        <v>5.8413070338198675E-3</v>
      </c>
      <c r="H81">
        <f t="shared" ca="1" si="5"/>
        <v>117.46888860923566</v>
      </c>
    </row>
    <row r="82" spans="5:8">
      <c r="E82">
        <f t="shared" si="3"/>
        <v>79</v>
      </c>
      <c r="F82">
        <f t="shared" ca="1" si="4"/>
        <v>-0.86323825269346921</v>
      </c>
      <c r="G82">
        <f ca="1">(Inputs!$D$8-0.5*Inputs!$D$7^2)/Inputs!$D$9+Inputs!$D$7*SQRT(1/Inputs!$D$9)*F82</f>
        <v>-1.0955144788054856E-2</v>
      </c>
      <c r="H82">
        <f t="shared" ca="1" si="5"/>
        <v>116.18902328166453</v>
      </c>
    </row>
    <row r="83" spans="5:8">
      <c r="E83">
        <f t="shared" si="3"/>
        <v>80</v>
      </c>
      <c r="F83">
        <f t="shared" ca="1" si="4"/>
        <v>2.0015640949110804</v>
      </c>
      <c r="G83">
        <f ca="1">(Inputs!$D$8-0.5*Inputs!$D$7^2)/Inputs!$D$9+Inputs!$D$7*SQRT(1/Inputs!$D$9)*F83</f>
        <v>2.5137972198210172E-2</v>
      </c>
      <c r="H83">
        <f t="shared" ca="1" si="5"/>
        <v>119.14680022158522</v>
      </c>
    </row>
    <row r="84" spans="5:8">
      <c r="E84">
        <f t="shared" si="3"/>
        <v>81</v>
      </c>
      <c r="F84">
        <f t="shared" ca="1" si="4"/>
        <v>0.45735605251303102</v>
      </c>
      <c r="G84">
        <f ca="1">(Inputs!$D$8-0.5*Inputs!$D$7^2)/Inputs!$D$9+Inputs!$D$7*SQRT(1/Inputs!$D$9)*F84</f>
        <v>5.6827795661571956E-3</v>
      </c>
      <c r="H84">
        <f t="shared" ca="1" si="5"/>
        <v>119.82581273514212</v>
      </c>
    </row>
    <row r="85" spans="5:8">
      <c r="E85">
        <f t="shared" si="3"/>
        <v>82</v>
      </c>
      <c r="F85">
        <f t="shared" ca="1" si="4"/>
        <v>-0.69575131297520532</v>
      </c>
      <c r="G85">
        <f ca="1">(Inputs!$D$8-0.5*Inputs!$D$7^2)/Inputs!$D$9+Inputs!$D$7*SQRT(1/Inputs!$D$9)*F85</f>
        <v>-8.8450076911701283E-3</v>
      </c>
      <c r="H85">
        <f t="shared" ca="1" si="5"/>
        <v>118.77062594682369</v>
      </c>
    </row>
    <row r="86" spans="5:8">
      <c r="E86">
        <f t="shared" si="3"/>
        <v>83</v>
      </c>
      <c r="F86">
        <f t="shared" ca="1" si="4"/>
        <v>0.80285049848000578</v>
      </c>
      <c r="G86">
        <f ca="1">(Inputs!$D$8-0.5*Inputs!$D$7^2)/Inputs!$D$9+Inputs!$D$7*SQRT(1/Inputs!$D$9)*F86</f>
        <v>1.0035600439407946E-2</v>
      </c>
      <c r="H86">
        <f t="shared" ca="1" si="5"/>
        <v>119.96856143976024</v>
      </c>
    </row>
    <row r="87" spans="5:8">
      <c r="E87">
        <f t="shared" si="3"/>
        <v>84</v>
      </c>
      <c r="F87">
        <f t="shared" ca="1" si="4"/>
        <v>3.1556888050263781</v>
      </c>
      <c r="G87">
        <f ca="1">(Inputs!$D$8-0.5*Inputs!$D$7^2)/Inputs!$D$9+Inputs!$D$7*SQRT(1/Inputs!$D$9)*F87</f>
        <v>3.9678576793065357E-2</v>
      </c>
      <c r="H87">
        <f t="shared" ca="1" si="5"/>
        <v>124.8244433892888</v>
      </c>
    </row>
    <row r="88" spans="5:8">
      <c r="E88">
        <f t="shared" si="3"/>
        <v>85</v>
      </c>
      <c r="F88">
        <f t="shared" ca="1" si="4"/>
        <v>0.35106497505843792</v>
      </c>
      <c r="G88">
        <f ca="1">(Inputs!$D$8-0.5*Inputs!$D$7^2)/Inputs!$D$9+Inputs!$D$7*SQRT(1/Inputs!$D$9)*F88</f>
        <v>4.3436378636335874E-3</v>
      </c>
      <c r="H88">
        <f t="shared" ca="1" si="5"/>
        <v>125.36781481793318</v>
      </c>
    </row>
    <row r="89" spans="5:8">
      <c r="E89">
        <f t="shared" si="3"/>
        <v>86</v>
      </c>
      <c r="F89">
        <f t="shared" ca="1" si="4"/>
        <v>6.6301534014221467E-2</v>
      </c>
      <c r="G89">
        <f ca="1">(Inputs!$D$8-0.5*Inputs!$D$7^2)/Inputs!$D$9+Inputs!$D$7*SQRT(1/Inputs!$D$9)*F89</f>
        <v>7.5595573274787312E-4</v>
      </c>
      <c r="H89">
        <f t="shared" ca="1" si="5"/>
        <v>125.46262316718942</v>
      </c>
    </row>
    <row r="90" spans="5:8">
      <c r="E90">
        <f t="shared" si="3"/>
        <v>87</v>
      </c>
      <c r="F90">
        <f t="shared" ca="1" si="4"/>
        <v>-0.73650212828958905</v>
      </c>
      <c r="G90">
        <f ca="1">(Inputs!$D$8-0.5*Inputs!$D$7^2)/Inputs!$D$9+Inputs!$D$7*SQRT(1/Inputs!$D$9)*F90</f>
        <v>-9.3584197056700413E-3</v>
      </c>
      <c r="H90">
        <f t="shared" ca="1" si="5"/>
        <v>124.29396819330788</v>
      </c>
    </row>
    <row r="91" spans="5:8">
      <c r="E91">
        <f t="shared" si="3"/>
        <v>88</v>
      </c>
      <c r="F91">
        <f t="shared" ca="1" si="4"/>
        <v>-1.3248880399673915</v>
      </c>
      <c r="G91">
        <f ca="1">(Inputs!$D$8-0.5*Inputs!$D$7^2)/Inputs!$D$9+Inputs!$D$7*SQRT(1/Inputs!$D$9)*F91</f>
        <v>-1.6771385406781851E-2</v>
      </c>
      <c r="H91">
        <f t="shared" ca="1" si="5"/>
        <v>122.22676949682666</v>
      </c>
    </row>
    <row r="92" spans="5:8">
      <c r="E92">
        <f t="shared" si="3"/>
        <v>89</v>
      </c>
      <c r="F92">
        <f t="shared" ca="1" si="4"/>
        <v>0.32953504389720623</v>
      </c>
      <c r="G92">
        <f ca="1">(Inputs!$D$8-0.5*Inputs!$D$7^2)/Inputs!$D$9+Inputs!$D$7*SQRT(1/Inputs!$D$9)*F92</f>
        <v>4.0723862274575917E-3</v>
      </c>
      <c r="H92">
        <f t="shared" ca="1" si="5"/>
        <v>122.72553901128988</v>
      </c>
    </row>
    <row r="93" spans="5:8">
      <c r="E93">
        <f t="shared" si="3"/>
        <v>90</v>
      </c>
      <c r="F93">
        <f t="shared" ca="1" si="4"/>
        <v>0.54065432122876722</v>
      </c>
      <c r="G93">
        <f ca="1">(Inputs!$D$8-0.5*Inputs!$D$7^2)/Inputs!$D$9+Inputs!$D$7*SQRT(1/Inputs!$D$9)*F93</f>
        <v>6.7322391074146701E-3</v>
      </c>
      <c r="H93">
        <f t="shared" ca="1" si="5"/>
        <v>123.55454408360056</v>
      </c>
    </row>
    <row r="94" spans="5:8">
      <c r="E94">
        <f t="shared" si="3"/>
        <v>91</v>
      </c>
      <c r="F94">
        <f t="shared" ca="1" si="4"/>
        <v>1.0336771925023189</v>
      </c>
      <c r="G94">
        <f ca="1">(Inputs!$D$8-0.5*Inputs!$D$7^2)/Inputs!$D$9+Inputs!$D$7*SQRT(1/Inputs!$D$9)*F94</f>
        <v>1.2943743431494804E-2</v>
      </c>
      <c r="H94">
        <f t="shared" ca="1" si="5"/>
        <v>125.1641973983272</v>
      </c>
    </row>
    <row r="95" spans="5:8">
      <c r="E95">
        <f t="shared" si="3"/>
        <v>92</v>
      </c>
      <c r="F95">
        <f t="shared" ca="1" si="4"/>
        <v>-2.7074998248593021</v>
      </c>
      <c r="G95">
        <f ca="1">(Inputs!$D$8-0.5*Inputs!$D$7^2)/Inputs!$D$9+Inputs!$D$7*SQRT(1/Inputs!$D$9)*F95</f>
        <v>-3.4190656561882457E-2</v>
      </c>
      <c r="H95">
        <f t="shared" ca="1" si="5"/>
        <v>120.95708314590895</v>
      </c>
    </row>
    <row r="96" spans="5:8">
      <c r="E96">
        <f t="shared" si="3"/>
        <v>93</v>
      </c>
      <c r="F96">
        <f t="shared" ca="1" si="4"/>
        <v>-0.71046764573584664</v>
      </c>
      <c r="G96">
        <f ca="1">(Inputs!$D$8-0.5*Inputs!$D$7^2)/Inputs!$D$9+Inputs!$D$7*SQRT(1/Inputs!$D$9)*F96</f>
        <v>-9.0304160563869345E-3</v>
      </c>
      <c r="H96">
        <f t="shared" ca="1" si="5"/>
        <v>119.8697074769546</v>
      </c>
    </row>
    <row r="97" spans="5:8">
      <c r="E97">
        <f t="shared" si="3"/>
        <v>94</v>
      </c>
      <c r="F97">
        <f t="shared" ca="1" si="4"/>
        <v>1.251910837968444</v>
      </c>
      <c r="G97">
        <f ca="1">(Inputs!$D$8-0.5*Inputs!$D$7^2)/Inputs!$D$9+Inputs!$D$7*SQRT(1/Inputs!$D$9)*F97</f>
        <v>1.5693228924877692E-2</v>
      </c>
      <c r="H97">
        <f t="shared" ca="1" si="5"/>
        <v>121.76568835726202</v>
      </c>
    </row>
    <row r="98" spans="5:8">
      <c r="E98">
        <f t="shared" si="3"/>
        <v>95</v>
      </c>
      <c r="F98">
        <f t="shared" ca="1" si="4"/>
        <v>1.4026141809116031</v>
      </c>
      <c r="G98">
        <f ca="1">(Inputs!$D$8-0.5*Inputs!$D$7^2)/Inputs!$D$9+Inputs!$D$7*SQRT(1/Inputs!$D$9)*F98</f>
        <v>1.7591912578085688E-2</v>
      </c>
      <c r="H98">
        <f t="shared" ca="1" si="5"/>
        <v>123.92673241874857</v>
      </c>
    </row>
    <row r="99" spans="5:8">
      <c r="E99">
        <f t="shared" si="3"/>
        <v>96</v>
      </c>
      <c r="F99">
        <f t="shared" ca="1" si="4"/>
        <v>0.76615931375202861</v>
      </c>
      <c r="G99">
        <f ca="1">(Inputs!$D$8-0.5*Inputs!$D$7^2)/Inputs!$D$9+Inputs!$D$7*SQRT(1/Inputs!$D$9)*F99</f>
        <v>9.5733349627481427E-3</v>
      </c>
      <c r="H99">
        <f t="shared" ca="1" si="5"/>
        <v>125.11882156896029</v>
      </c>
    </row>
    <row r="100" spans="5:8">
      <c r="E100">
        <f t="shared" si="3"/>
        <v>97</v>
      </c>
      <c r="F100">
        <f t="shared" ca="1" si="4"/>
        <v>-0.64336211941742816</v>
      </c>
      <c r="G100">
        <f ca="1">(Inputs!$D$8-0.5*Inputs!$D$7^2)/Inputs!$D$9+Inputs!$D$7*SQRT(1/Inputs!$D$9)*F100</f>
        <v>-8.18496589335534E-3</v>
      </c>
      <c r="H100">
        <f t="shared" ca="1" si="5"/>
        <v>124.09890795484741</v>
      </c>
    </row>
    <row r="101" spans="5:8">
      <c r="E101">
        <f t="shared" si="3"/>
        <v>98</v>
      </c>
      <c r="F101">
        <f t="shared" ca="1" si="4"/>
        <v>-0.96362631452220571</v>
      </c>
      <c r="G101">
        <f ca="1">(Inputs!$D$8-0.5*Inputs!$D$7^2)/Inputs!$D$9+Inputs!$D$7*SQRT(1/Inputs!$D$9)*F101</f>
        <v>-1.2219915484238725E-2</v>
      </c>
      <c r="H101">
        <f t="shared" ca="1" si="5"/>
        <v>122.59165777880061</v>
      </c>
    </row>
    <row r="102" spans="5:8">
      <c r="E102">
        <f t="shared" si="3"/>
        <v>99</v>
      </c>
      <c r="F102">
        <f t="shared" ca="1" si="4"/>
        <v>1.2073761494716306</v>
      </c>
      <c r="G102">
        <f ca="1">(Inputs!$D$8-0.5*Inputs!$D$7^2)/Inputs!$D$9+Inputs!$D$7*SQRT(1/Inputs!$D$9)*F102</f>
        <v>1.5132144589266748E-2</v>
      </c>
      <c r="H102">
        <f t="shared" ca="1" si="5"/>
        <v>124.46083916399915</v>
      </c>
    </row>
    <row r="103" spans="5:8">
      <c r="E103">
        <f t="shared" si="3"/>
        <v>100</v>
      </c>
      <c r="F103">
        <f t="shared" ca="1" si="4"/>
        <v>-0.59271921560060903</v>
      </c>
      <c r="G103">
        <f ca="1">(Inputs!$D$8-0.5*Inputs!$D$7^2)/Inputs!$D$9+Inputs!$D$7*SQRT(1/Inputs!$D$9)*F103</f>
        <v>-7.5469252782626372E-3</v>
      </c>
      <c r="H103">
        <f t="shared" ca="1" si="5"/>
        <v>123.52507801194149</v>
      </c>
    </row>
    <row r="104" spans="5:8">
      <c r="E104">
        <f t="shared" si="3"/>
        <v>101</v>
      </c>
      <c r="F104">
        <f t="shared" ca="1" si="4"/>
        <v>0.24773218732773664</v>
      </c>
      <c r="G104">
        <f ca="1">(Inputs!$D$8-0.5*Inputs!$D$7^2)/Inputs!$D$9+Inputs!$D$7*SQRT(1/Inputs!$D$9)*F104</f>
        <v>3.0417671083266258E-3</v>
      </c>
      <c r="H104">
        <f t="shared" ca="1" si="5"/>
        <v>123.90138455958815</v>
      </c>
    </row>
    <row r="105" spans="5:8">
      <c r="E105">
        <f t="shared" si="3"/>
        <v>102</v>
      </c>
      <c r="F105">
        <f t="shared" ca="1" si="4"/>
        <v>-0.13611595888415107</v>
      </c>
      <c r="G105">
        <f ca="1">(Inputs!$D$8-0.5*Inputs!$D$7^2)/Inputs!$D$9+Inputs!$D$7*SQRT(1/Inputs!$D$9)*F105</f>
        <v>-1.7942649682915397E-3</v>
      </c>
      <c r="H105">
        <f t="shared" ca="1" si="5"/>
        <v>123.67927196975839</v>
      </c>
    </row>
    <row r="106" spans="5:8">
      <c r="E106">
        <f t="shared" si="3"/>
        <v>103</v>
      </c>
      <c r="F106">
        <f t="shared" ca="1" si="4"/>
        <v>8.0060015658982089E-2</v>
      </c>
      <c r="G106">
        <f ca="1">(Inputs!$D$8-0.5*Inputs!$D$7^2)/Inputs!$D$9+Inputs!$D$7*SQRT(1/Inputs!$D$9)*F106</f>
        <v>9.2929630822350892E-4</v>
      </c>
      <c r="H106">
        <f t="shared" ca="1" si="5"/>
        <v>123.79426008134222</v>
      </c>
    </row>
    <row r="107" spans="5:8">
      <c r="E107">
        <f t="shared" si="3"/>
        <v>104</v>
      </c>
      <c r="F107">
        <f t="shared" ca="1" si="4"/>
        <v>-0.25380501127544097</v>
      </c>
      <c r="G107">
        <f ca="1">(Inputs!$D$8-0.5*Inputs!$D$7^2)/Inputs!$D$9+Inputs!$D$7*SQRT(1/Inputs!$D$9)*F107</f>
        <v>-3.2770076571591801E-3</v>
      </c>
      <c r="H107">
        <f t="shared" ca="1" si="5"/>
        <v>123.38924931727421</v>
      </c>
    </row>
    <row r="108" spans="5:8">
      <c r="E108">
        <f t="shared" si="3"/>
        <v>105</v>
      </c>
      <c r="F108">
        <f t="shared" ca="1" si="4"/>
        <v>-0.95327390045546334</v>
      </c>
      <c r="G108">
        <f ca="1">(Inputs!$D$8-0.5*Inputs!$D$7^2)/Inputs!$D$9+Inputs!$D$7*SQRT(1/Inputs!$D$9)*F108</f>
        <v>-1.2089487326668405E-2</v>
      </c>
      <c r="H108">
        <f t="shared" ca="1" si="5"/>
        <v>121.90651734519911</v>
      </c>
    </row>
    <row r="109" spans="5:8">
      <c r="E109">
        <f t="shared" si="3"/>
        <v>106</v>
      </c>
      <c r="F109">
        <f t="shared" ca="1" si="4"/>
        <v>-0.38746635801340018</v>
      </c>
      <c r="G109">
        <f ca="1">(Inputs!$D$8-0.5*Inputs!$D$7^2)/Inputs!$D$9+Inputs!$D$7*SQRT(1/Inputs!$D$9)*F109</f>
        <v>-4.9609823398763919E-3</v>
      </c>
      <c r="H109">
        <f t="shared" ca="1" si="5"/>
        <v>121.30323892960726</v>
      </c>
    </row>
    <row r="110" spans="5:8">
      <c r="E110">
        <f t="shared" si="3"/>
        <v>107</v>
      </c>
      <c r="F110">
        <f t="shared" ca="1" si="4"/>
        <v>1.0128914499982489</v>
      </c>
      <c r="G110">
        <f ca="1">(Inputs!$D$8-0.5*Inputs!$D$7^2)/Inputs!$D$9+Inputs!$D$7*SQRT(1/Inputs!$D$9)*F110</f>
        <v>1.268186769110626E-2</v>
      </c>
      <c r="H110">
        <f t="shared" ca="1" si="5"/>
        <v>122.85138650863455</v>
      </c>
    </row>
    <row r="111" spans="5:8">
      <c r="E111">
        <f t="shared" si="3"/>
        <v>108</v>
      </c>
      <c r="F111">
        <f t="shared" ca="1" si="4"/>
        <v>-1.9998957899393248</v>
      </c>
      <c r="G111">
        <f ca="1">(Inputs!$D$8-0.5*Inputs!$D$7^2)/Inputs!$D$9+Inputs!$D$7*SQRT(1/Inputs!$D$9)*F111</f>
        <v>-2.5275683689958049E-2</v>
      </c>
      <c r="H111">
        <f t="shared" ca="1" si="5"/>
        <v>119.78514760445771</v>
      </c>
    </row>
    <row r="112" spans="5:8">
      <c r="E112">
        <f t="shared" si="3"/>
        <v>109</v>
      </c>
      <c r="F112">
        <f t="shared" ca="1" si="4"/>
        <v>-1.2550751354457519</v>
      </c>
      <c r="G112">
        <f ca="1">(Inputs!$D$8-0.5*Inputs!$D$7^2)/Inputs!$D$9+Inputs!$D$7*SQRT(1/Inputs!$D$9)*F112</f>
        <v>-1.5891825484556348E-2</v>
      </c>
      <c r="H112">
        <f t="shared" ca="1" si="5"/>
        <v>117.89658901101855</v>
      </c>
    </row>
    <row r="113" spans="5:8">
      <c r="E113">
        <f t="shared" si="3"/>
        <v>110</v>
      </c>
      <c r="F113">
        <f t="shared" ca="1" si="4"/>
        <v>1.543054376581849</v>
      </c>
      <c r="G113">
        <f ca="1">(Inputs!$D$8-0.5*Inputs!$D$7^2)/Inputs!$D$9+Inputs!$D$7*SQRT(1/Inputs!$D$9)*F113</f>
        <v>1.9361292729612931E-2</v>
      </c>
      <c r="H113">
        <f t="shared" ca="1" si="5"/>
        <v>120.20146002406442</v>
      </c>
    </row>
    <row r="114" spans="5:8">
      <c r="E114">
        <f t="shared" si="3"/>
        <v>111</v>
      </c>
      <c r="F114">
        <f t="shared" ca="1" si="4"/>
        <v>-0.32754390479386303</v>
      </c>
      <c r="G114">
        <f ca="1">(Inputs!$D$8-0.5*Inputs!$D$7^2)/Inputs!$D$9+Inputs!$D$7*SQRT(1/Inputs!$D$9)*F114</f>
        <v>-4.2060303914583106E-3</v>
      </c>
      <c r="H114">
        <f t="shared" ca="1" si="5"/>
        <v>119.69695076450436</v>
      </c>
    </row>
    <row r="115" spans="5:8">
      <c r="E115">
        <f t="shared" si="3"/>
        <v>112</v>
      </c>
      <c r="F115">
        <f t="shared" ca="1" si="4"/>
        <v>0.95902822770752261</v>
      </c>
      <c r="G115">
        <f ca="1">(Inputs!$D$8-0.5*Inputs!$D$7^2)/Inputs!$D$9+Inputs!$D$7*SQRT(1/Inputs!$D$9)*F115</f>
        <v>1.200325487684982E-2</v>
      </c>
      <c r="H115">
        <f t="shared" ca="1" si="5"/>
        <v>121.14236123334756</v>
      </c>
    </row>
    <row r="116" spans="5:8">
      <c r="E116">
        <f t="shared" si="3"/>
        <v>113</v>
      </c>
      <c r="F116">
        <f t="shared" ca="1" si="4"/>
        <v>-1.4673710810255407</v>
      </c>
      <c r="G116">
        <f ca="1">(Inputs!$D$8-0.5*Inputs!$D$7^2)/Inputs!$D$9+Inputs!$D$7*SQRT(1/Inputs!$D$9)*F116</f>
        <v>-1.8566502990991697E-2</v>
      </c>
      <c r="H116">
        <f t="shared" ca="1" si="5"/>
        <v>118.91392239369328</v>
      </c>
    </row>
    <row r="117" spans="5:8">
      <c r="E117">
        <f t="shared" si="3"/>
        <v>114</v>
      </c>
      <c r="F117">
        <f t="shared" ca="1" si="4"/>
        <v>-0.71944450094836321</v>
      </c>
      <c r="G117">
        <f ca="1">(Inputs!$D$8-0.5*Inputs!$D$7^2)/Inputs!$D$9+Inputs!$D$7*SQRT(1/Inputs!$D$9)*F117</f>
        <v>-9.1435138013762334E-3</v>
      </c>
      <c r="H117">
        <f t="shared" ca="1" si="5"/>
        <v>117.83158701793977</v>
      </c>
    </row>
    <row r="118" spans="5:8">
      <c r="E118">
        <f t="shared" si="3"/>
        <v>115</v>
      </c>
      <c r="F118">
        <f t="shared" ca="1" si="4"/>
        <v>1.3610675685468072</v>
      </c>
      <c r="G118">
        <f ca="1">(Inputs!$D$8-0.5*Inputs!$D$7^2)/Inputs!$D$9+Inputs!$D$7*SQRT(1/Inputs!$D$9)*F118</f>
        <v>1.7068474463159733E-2</v>
      </c>
      <c r="H118">
        <f t="shared" ca="1" si="5"/>
        <v>119.86005462936141</v>
      </c>
    </row>
    <row r="119" spans="5:8">
      <c r="E119">
        <f t="shared" si="3"/>
        <v>116</v>
      </c>
      <c r="F119">
        <f t="shared" ca="1" si="4"/>
        <v>-0.34803801045709254</v>
      </c>
      <c r="G119">
        <f ca="1">(Inputs!$D$8-0.5*Inputs!$D$7^2)/Inputs!$D$9+Inputs!$D$7*SQRT(1/Inputs!$D$9)*F119</f>
        <v>-4.4642318530182428E-3</v>
      </c>
      <c r="H119">
        <f t="shared" ca="1" si="5"/>
        <v>119.32616414770224</v>
      </c>
    </row>
    <row r="120" spans="5:8">
      <c r="E120">
        <f t="shared" si="3"/>
        <v>117</v>
      </c>
      <c r="F120">
        <f t="shared" ca="1" si="4"/>
        <v>-0.30248310626309716</v>
      </c>
      <c r="G120">
        <f ca="1">(Inputs!$D$8-0.5*Inputs!$D$7^2)/Inputs!$D$9+Inputs!$D$7*SQRT(1/Inputs!$D$9)*F120</f>
        <v>-3.890294007795933E-3</v>
      </c>
      <c r="H120">
        <f t="shared" ca="1" si="5"/>
        <v>118.8628520807526</v>
      </c>
    </row>
    <row r="121" spans="5:8">
      <c r="E121">
        <f t="shared" si="3"/>
        <v>118</v>
      </c>
      <c r="F121">
        <f t="shared" ca="1" si="4"/>
        <v>1.2099938450448411</v>
      </c>
      <c r="G121">
        <f ca="1">(Inputs!$D$8-0.5*Inputs!$D$7^2)/Inputs!$D$9+Inputs!$D$7*SQRT(1/Inputs!$D$9)*F121</f>
        <v>1.5165124453527652E-2</v>
      </c>
      <c r="H121">
        <f t="shared" ca="1" si="5"/>
        <v>120.67915947978537</v>
      </c>
    </row>
    <row r="122" spans="5:8">
      <c r="E122">
        <f t="shared" si="3"/>
        <v>119</v>
      </c>
      <c r="F122">
        <f t="shared" ca="1" si="4"/>
        <v>0.83009008759321823</v>
      </c>
      <c r="G122">
        <f ca="1">(Inputs!$D$8-0.5*Inputs!$D$7^2)/Inputs!$D$9+Inputs!$D$7*SQRT(1/Inputs!$D$9)*F122</f>
        <v>1.0378787004213387E-2</v>
      </c>
      <c r="H122">
        <f t="shared" ca="1" si="5"/>
        <v>121.93818504923193</v>
      </c>
    </row>
    <row r="123" spans="5:8">
      <c r="E123">
        <f t="shared" si="3"/>
        <v>120</v>
      </c>
      <c r="F123">
        <f t="shared" ca="1" si="4"/>
        <v>-0.33876386781150214</v>
      </c>
      <c r="G123">
        <f ca="1">(Inputs!$D$8-0.5*Inputs!$D$7^2)/Inputs!$D$9+Inputs!$D$7*SQRT(1/Inputs!$D$9)*F123</f>
        <v>-4.3473886384298105E-3</v>
      </c>
      <c r="H123">
        <f t="shared" ca="1" si="5"/>
        <v>121.40922300385687</v>
      </c>
    </row>
    <row r="124" spans="5:8">
      <c r="E124">
        <f t="shared" si="3"/>
        <v>121</v>
      </c>
      <c r="F124">
        <f t="shared" ca="1" si="4"/>
        <v>1.3926021472427719</v>
      </c>
      <c r="G124">
        <f ca="1">(Inputs!$D$8-0.5*Inputs!$D$7^2)/Inputs!$D$9+Inputs!$D$7*SQRT(1/Inputs!$D$9)*F124</f>
        <v>1.7465772810439342E-2</v>
      </c>
      <c r="H124">
        <f t="shared" ca="1" si="5"/>
        <v>123.54835533072662</v>
      </c>
    </row>
    <row r="125" spans="5:8">
      <c r="E125">
        <f t="shared" si="3"/>
        <v>122</v>
      </c>
      <c r="F125">
        <f t="shared" ca="1" si="4"/>
        <v>0.35180608716822503</v>
      </c>
      <c r="G125">
        <f ca="1">(Inputs!$D$8-0.5*Inputs!$D$7^2)/Inputs!$D$9+Inputs!$D$7*SQRT(1/Inputs!$D$9)*F125</f>
        <v>4.3529749985674691E-3</v>
      </c>
      <c r="H125">
        <f t="shared" ca="1" si="5"/>
        <v>124.08733045415495</v>
      </c>
    </row>
    <row r="126" spans="5:8">
      <c r="E126">
        <f t="shared" si="3"/>
        <v>123</v>
      </c>
      <c r="F126">
        <f t="shared" ca="1" si="4"/>
        <v>-0.69671033916102809</v>
      </c>
      <c r="G126">
        <f ca="1">(Inputs!$D$8-0.5*Inputs!$D$7^2)/Inputs!$D$9+Inputs!$D$7*SQRT(1/Inputs!$D$9)*F126</f>
        <v>-8.8570902854010133E-3</v>
      </c>
      <c r="H126">
        <f t="shared" ca="1" si="5"/>
        <v>122.99313063150188</v>
      </c>
    </row>
    <row r="127" spans="5:8">
      <c r="E127">
        <f t="shared" si="3"/>
        <v>124</v>
      </c>
      <c r="F127">
        <f t="shared" ca="1" si="4"/>
        <v>1.2672786437803183</v>
      </c>
      <c r="G127">
        <f ca="1">(Inputs!$D$8-0.5*Inputs!$D$7^2)/Inputs!$D$9+Inputs!$D$7*SQRT(1/Inputs!$D$9)*F127</f>
        <v>1.5886845079044129E-2</v>
      </c>
      <c r="H127">
        <f t="shared" ca="1" si="5"/>
        <v>124.9627071972691</v>
      </c>
    </row>
    <row r="128" spans="5:8">
      <c r="E128">
        <f t="shared" si="3"/>
        <v>125</v>
      </c>
      <c r="F128">
        <f t="shared" ca="1" si="4"/>
        <v>-1.9729406035345207</v>
      </c>
      <c r="G128">
        <f ca="1">(Inputs!$D$8-0.5*Inputs!$D$7^2)/Inputs!$D$9+Inputs!$D$7*SQRT(1/Inputs!$D$9)*F128</f>
        <v>-2.4936080262479475E-2</v>
      </c>
      <c r="H128">
        <f t="shared" ca="1" si="5"/>
        <v>121.8851575816813</v>
      </c>
    </row>
    <row r="129" spans="5:8">
      <c r="E129">
        <f t="shared" si="3"/>
        <v>126</v>
      </c>
      <c r="F129">
        <f t="shared" ca="1" si="4"/>
        <v>0.17245024833295305</v>
      </c>
      <c r="G129">
        <f ca="1">(Inputs!$D$8-0.5*Inputs!$D$7^2)/Inputs!$D$9+Inputs!$D$7*SQRT(1/Inputs!$D$9)*F129</f>
        <v>2.0933038283507534E-3</v>
      </c>
      <c r="H129">
        <f t="shared" ca="1" si="5"/>
        <v>122.14056748066032</v>
      </c>
    </row>
    <row r="130" spans="5:8">
      <c r="E130">
        <f t="shared" si="3"/>
        <v>127</v>
      </c>
      <c r="F130">
        <f t="shared" ca="1" si="4"/>
        <v>1.2996989347465353</v>
      </c>
      <c r="G130">
        <f ca="1">(Inputs!$D$8-0.5*Inputs!$D$7^2)/Inputs!$D$9+Inputs!$D$7*SQRT(1/Inputs!$D$9)*F130</f>
        <v>1.6295302352039197E-2</v>
      </c>
      <c r="H130">
        <f t="shared" ca="1" si="5"/>
        <v>124.14718981352812</v>
      </c>
    </row>
    <row r="131" spans="5:8">
      <c r="E131">
        <f t="shared" si="3"/>
        <v>128</v>
      </c>
      <c r="F131">
        <f t="shared" ca="1" si="4"/>
        <v>1.6148062278751871</v>
      </c>
      <c r="G131">
        <f ca="1">(Inputs!$D$8-0.5*Inputs!$D$7^2)/Inputs!$D$9+Inputs!$D$7*SQRT(1/Inputs!$D$9)*F131</f>
        <v>2.026528108499703E-2</v>
      </c>
      <c r="H131">
        <f t="shared" ca="1" si="5"/>
        <v>126.68873307547884</v>
      </c>
    </row>
    <row r="132" spans="5:8">
      <c r="E132">
        <f t="shared" si="3"/>
        <v>129</v>
      </c>
      <c r="F132">
        <f t="shared" ca="1" si="4"/>
        <v>-1.4717199297999868</v>
      </c>
      <c r="G132">
        <f ca="1">(Inputs!$D$8-0.5*Inputs!$D$7^2)/Inputs!$D$9+Inputs!$D$7*SQRT(1/Inputs!$D$9)*F132</f>
        <v>-1.8621293335499375E-2</v>
      </c>
      <c r="H132">
        <f t="shared" ca="1" si="5"/>
        <v>124.35145413072831</v>
      </c>
    </row>
    <row r="133" spans="5:8">
      <c r="E133">
        <f t="shared" ref="E133:E196" si="6">+E132+1</f>
        <v>130</v>
      </c>
      <c r="F133">
        <f t="shared" ref="F133:F196" ca="1" si="7">_xlfn.NORM.S.INV(RAND())</f>
        <v>-1.5145399547311542</v>
      </c>
      <c r="G133">
        <f ca="1">(Inputs!$D$8-0.5*Inputs!$D$7^2)/Inputs!$D$9+Inputs!$D$7*SQRT(1/Inputs!$D$9)*F133</f>
        <v>-1.9160774940744398E-2</v>
      </c>
      <c r="H133">
        <f t="shared" ref="H133:H196" ca="1" si="8">H132*EXP(G133)</f>
        <v>121.99146571054494</v>
      </c>
    </row>
    <row r="134" spans="5:8">
      <c r="E134">
        <f t="shared" si="6"/>
        <v>131</v>
      </c>
      <c r="F134">
        <f t="shared" ca="1" si="7"/>
        <v>-3.604065884982246E-3</v>
      </c>
      <c r="G134">
        <f ca="1">(Inputs!$D$8-0.5*Inputs!$D$7^2)/Inputs!$D$9+Inputs!$D$7*SQRT(1/Inputs!$D$9)*F134</f>
        <v>-1.2477204146200767E-4</v>
      </c>
      <c r="H134">
        <f t="shared" ca="1" si="8"/>
        <v>121.97624553587318</v>
      </c>
    </row>
    <row r="135" spans="5:8">
      <c r="E135">
        <f t="shared" si="6"/>
        <v>132</v>
      </c>
      <c r="F135">
        <f t="shared" ca="1" si="7"/>
        <v>-0.30279143022082322</v>
      </c>
      <c r="G135">
        <f ca="1">(Inputs!$D$8-0.5*Inputs!$D$7^2)/Inputs!$D$9+Inputs!$D$7*SQRT(1/Inputs!$D$9)*F135</f>
        <v>-3.8941785245358677E-3</v>
      </c>
      <c r="H135">
        <f t="shared" ca="1" si="8"/>
        <v>121.50217192274114</v>
      </c>
    </row>
    <row r="136" spans="5:8">
      <c r="E136">
        <f t="shared" si="6"/>
        <v>133</v>
      </c>
      <c r="F136">
        <f t="shared" ca="1" si="7"/>
        <v>1.3633844877182004</v>
      </c>
      <c r="G136">
        <f ca="1">(Inputs!$D$8-0.5*Inputs!$D$7^2)/Inputs!$D$9+Inputs!$D$7*SQRT(1/Inputs!$D$9)*F136</f>
        <v>1.7097664900947086E-2</v>
      </c>
      <c r="H136">
        <f t="shared" ca="1" si="8"/>
        <v>123.59743636550958</v>
      </c>
    </row>
    <row r="137" spans="5:8">
      <c r="E137">
        <f t="shared" si="6"/>
        <v>134</v>
      </c>
      <c r="F137">
        <f t="shared" ca="1" si="7"/>
        <v>0.86298352814811696</v>
      </c>
      <c r="G137">
        <f ca="1">(Inputs!$D$8-0.5*Inputs!$D$7^2)/Inputs!$D$9+Inputs!$D$7*SQRT(1/Inputs!$D$9)*F137</f>
        <v>1.0793205401706476E-2</v>
      </c>
      <c r="H137">
        <f t="shared" ca="1" si="8"/>
        <v>124.93867398950512</v>
      </c>
    </row>
    <row r="138" spans="5:8">
      <c r="E138">
        <f t="shared" si="6"/>
        <v>135</v>
      </c>
      <c r="F138">
        <f t="shared" ca="1" si="7"/>
        <v>1.3044580507771873E-2</v>
      </c>
      <c r="G138">
        <f ca="1">(Inputs!$D$8-0.5*Inputs!$D$7^2)/Inputs!$D$9+Inputs!$D$7*SQRT(1/Inputs!$D$9)*F138</f>
        <v>8.498118720980177E-5</v>
      </c>
      <c r="H138">
        <f t="shared" ca="1" si="8"/>
        <v>124.94929187750314</v>
      </c>
    </row>
    <row r="139" spans="5:8">
      <c r="E139">
        <f t="shared" si="6"/>
        <v>136</v>
      </c>
      <c r="F139">
        <f t="shared" ca="1" si="7"/>
        <v>-0.75408979296278511</v>
      </c>
      <c r="G139">
        <f ca="1">(Inputs!$D$8-0.5*Inputs!$D$7^2)/Inputs!$D$9+Inputs!$D$7*SQRT(1/Inputs!$D$9)*F139</f>
        <v>-9.5800034526589591E-3</v>
      </c>
      <c r="H139">
        <f t="shared" ca="1" si="8"/>
        <v>123.75799266627642</v>
      </c>
    </row>
    <row r="140" spans="5:8">
      <c r="E140">
        <f t="shared" si="6"/>
        <v>137</v>
      </c>
      <c r="F140">
        <f t="shared" ca="1" si="7"/>
        <v>-1.4011971267335988</v>
      </c>
      <c r="G140">
        <f ca="1">(Inputs!$D$8-0.5*Inputs!$D$7^2)/Inputs!$D$9+Inputs!$D$7*SQRT(1/Inputs!$D$9)*F140</f>
        <v>-1.7732789532295349E-2</v>
      </c>
      <c r="H140">
        <f t="shared" ca="1" si="8"/>
        <v>121.58276168611084</v>
      </c>
    </row>
    <row r="141" spans="5:8">
      <c r="E141">
        <f t="shared" si="6"/>
        <v>138</v>
      </c>
      <c r="F141">
        <f t="shared" ca="1" si="7"/>
        <v>-0.76140154111841418</v>
      </c>
      <c r="G141">
        <f ca="1">(Inputs!$D$8-0.5*Inputs!$D$7^2)/Inputs!$D$9+Inputs!$D$7*SQRT(1/Inputs!$D$9)*F141</f>
        <v>-9.6721228206062427E-3</v>
      </c>
      <c r="H141">
        <f t="shared" ca="1" si="8"/>
        <v>120.41246702247976</v>
      </c>
    </row>
    <row r="142" spans="5:8">
      <c r="E142">
        <f t="shared" si="6"/>
        <v>139</v>
      </c>
      <c r="F142">
        <f t="shared" ca="1" si="7"/>
        <v>0.15825100439082182</v>
      </c>
      <c r="G142">
        <f ca="1">(Inputs!$D$8-0.5*Inputs!$D$7^2)/Inputs!$D$9+Inputs!$D$7*SQRT(1/Inputs!$D$9)*F142</f>
        <v>1.9144101698935166E-3</v>
      </c>
      <c r="H142">
        <f t="shared" ca="1" si="8"/>
        <v>120.64320666862106</v>
      </c>
    </row>
    <row r="143" spans="5:8">
      <c r="E143">
        <f t="shared" si="6"/>
        <v>140</v>
      </c>
      <c r="F143">
        <f t="shared" ca="1" si="7"/>
        <v>-0.71704899434062241</v>
      </c>
      <c r="G143">
        <f ca="1">(Inputs!$D$8-0.5*Inputs!$D$7^2)/Inputs!$D$9+Inputs!$D$7*SQRT(1/Inputs!$D$9)*F143</f>
        <v>-9.1133332549567375E-3</v>
      </c>
      <c r="H143">
        <f t="shared" ca="1" si="8"/>
        <v>119.54873961766214</v>
      </c>
    </row>
    <row r="144" spans="5:8">
      <c r="E144">
        <f t="shared" si="6"/>
        <v>141</v>
      </c>
      <c r="F144">
        <f t="shared" ca="1" si="7"/>
        <v>-0.83982573109604186</v>
      </c>
      <c r="G144">
        <f ca="1">(Inputs!$D$8-0.5*Inputs!$D$7^2)/Inputs!$D$9+Inputs!$D$7*SQRT(1/Inputs!$D$9)*F144</f>
        <v>-1.0660174741808562E-2</v>
      </c>
      <c r="H144">
        <f t="shared" ca="1" si="8"/>
        <v>118.28109780924271</v>
      </c>
    </row>
    <row r="145" spans="5:8">
      <c r="E145">
        <f t="shared" si="6"/>
        <v>142</v>
      </c>
      <c r="F145">
        <f t="shared" ca="1" si="7"/>
        <v>-3.4330710732137427E-2</v>
      </c>
      <c r="G145">
        <f ca="1">(Inputs!$D$8-0.5*Inputs!$D$7^2)/Inputs!$D$9+Inputs!$D$7*SQRT(1/Inputs!$D$9)*F145</f>
        <v>-5.1189137902856428E-4</v>
      </c>
      <c r="H145">
        <f t="shared" ca="1" si="8"/>
        <v>118.22056622909092</v>
      </c>
    </row>
    <row r="146" spans="5:8">
      <c r="E146">
        <f t="shared" si="6"/>
        <v>143</v>
      </c>
      <c r="F146">
        <f t="shared" ca="1" si="7"/>
        <v>-0.63099900253562802</v>
      </c>
      <c r="G146">
        <f ca="1">(Inputs!$D$8-0.5*Inputs!$D$7^2)/Inputs!$D$9+Inputs!$D$7*SQRT(1/Inputs!$D$9)*F146</f>
        <v>-8.0292052614559708E-3</v>
      </c>
      <c r="H146">
        <f t="shared" ca="1" si="8"/>
        <v>117.27514958794536</v>
      </c>
    </row>
    <row r="147" spans="5:8">
      <c r="E147">
        <f t="shared" si="6"/>
        <v>144</v>
      </c>
      <c r="F147">
        <f t="shared" ca="1" si="7"/>
        <v>-2.7118970277394761</v>
      </c>
      <c r="G147">
        <f ca="1">(Inputs!$D$8-0.5*Inputs!$D$7^2)/Inputs!$D$9+Inputs!$D$7*SQRT(1/Inputs!$D$9)*F147</f>
        <v>-3.4246056110859777E-2</v>
      </c>
      <c r="H147">
        <f t="shared" ca="1" si="8"/>
        <v>113.32692957936895</v>
      </c>
    </row>
    <row r="148" spans="5:8">
      <c r="E148">
        <f t="shared" si="6"/>
        <v>145</v>
      </c>
      <c r="F148">
        <f t="shared" ca="1" si="7"/>
        <v>-0.17590953851476734</v>
      </c>
      <c r="G148">
        <f ca="1">(Inputs!$D$8-0.5*Inputs!$D$7^2)/Inputs!$D$9+Inputs!$D$7*SQRT(1/Inputs!$D$9)*F148</f>
        <v>-2.2956169467660929E-3</v>
      </c>
      <c r="H148">
        <f t="shared" ca="1" si="8"/>
        <v>113.06707273930184</v>
      </c>
    </row>
    <row r="149" spans="5:8">
      <c r="E149">
        <f t="shared" si="6"/>
        <v>146</v>
      </c>
      <c r="F149">
        <f t="shared" ca="1" si="7"/>
        <v>0.9922438636285319</v>
      </c>
      <c r="G149">
        <f ca="1">(Inputs!$D$8-0.5*Inputs!$D$7^2)/Inputs!$D$9+Inputs!$D$7*SQRT(1/Inputs!$D$9)*F149</f>
        <v>1.2421732554401507E-2</v>
      </c>
      <c r="H149">
        <f t="shared" ca="1" si="8"/>
        <v>114.48032100164791</v>
      </c>
    </row>
    <row r="150" spans="5:8">
      <c r="E150">
        <f t="shared" si="6"/>
        <v>147</v>
      </c>
      <c r="F150">
        <f t="shared" ca="1" si="7"/>
        <v>-1.7999838502932328</v>
      </c>
      <c r="G150">
        <f ca="1">(Inputs!$D$8-0.5*Inputs!$D$7^2)/Inputs!$D$9+Inputs!$D$7*SQRT(1/Inputs!$D$9)*F150</f>
        <v>-2.2757029992738462E-2</v>
      </c>
      <c r="H150">
        <f t="shared" ca="1" si="8"/>
        <v>111.90450898175075</v>
      </c>
    </row>
    <row r="151" spans="5:8">
      <c r="E151">
        <f t="shared" si="6"/>
        <v>148</v>
      </c>
      <c r="F151">
        <f t="shared" ca="1" si="7"/>
        <v>-0.46704336473995356</v>
      </c>
      <c r="G151">
        <f ca="1">(Inputs!$D$8-0.5*Inputs!$D$7^2)/Inputs!$D$9+Inputs!$D$7*SQRT(1/Inputs!$D$9)*F151</f>
        <v>-5.9635583869115079E-3</v>
      </c>
      <c r="H151">
        <f t="shared" ca="1" si="8"/>
        <v>111.23914584654702</v>
      </c>
    </row>
    <row r="152" spans="5:8">
      <c r="E152">
        <f t="shared" si="6"/>
        <v>149</v>
      </c>
      <c r="F152">
        <f t="shared" ca="1" si="7"/>
        <v>-2.4080992155686278</v>
      </c>
      <c r="G152">
        <f ca="1">(Inputs!$D$8-0.5*Inputs!$D$7^2)/Inputs!$D$9+Inputs!$D$7*SQRT(1/Inputs!$D$9)*F152</f>
        <v>-3.0418563444909411E-2</v>
      </c>
      <c r="H152">
        <f t="shared" ca="1" si="8"/>
        <v>107.90635713229838</v>
      </c>
    </row>
    <row r="153" spans="5:8">
      <c r="E153">
        <f t="shared" si="6"/>
        <v>150</v>
      </c>
      <c r="F153">
        <f t="shared" ca="1" si="7"/>
        <v>0.34638438614110956</v>
      </c>
      <c r="G153">
        <f ca="1">(Inputs!$D$8-0.5*Inputs!$D$7^2)/Inputs!$D$9+Inputs!$D$7*SQRT(1/Inputs!$D$9)*F153</f>
        <v>4.284667986183226E-3</v>
      </c>
      <c r="H153">
        <f t="shared" ca="1" si="8"/>
        <v>108.36969195531081</v>
      </c>
    </row>
    <row r="154" spans="5:8">
      <c r="E154">
        <f t="shared" si="6"/>
        <v>151</v>
      </c>
      <c r="F154">
        <f t="shared" ca="1" si="7"/>
        <v>-0.19457250283905664</v>
      </c>
      <c r="G154">
        <f ca="1">(Inputs!$D$8-0.5*Inputs!$D$7^2)/Inputs!$D$9+Inputs!$D$7*SQRT(1/Inputs!$D$9)*F154</f>
        <v>-2.5307481959534264E-3</v>
      </c>
      <c r="H154">
        <f t="shared" ca="1" si="8"/>
        <v>108.09578229727744</v>
      </c>
    </row>
    <row r="155" spans="5:8">
      <c r="E155">
        <f t="shared" si="6"/>
        <v>152</v>
      </c>
      <c r="F155">
        <f t="shared" ca="1" si="7"/>
        <v>1.090541791799424</v>
      </c>
      <c r="G155">
        <f ca="1">(Inputs!$D$8-0.5*Inputs!$D$7^2)/Inputs!$D$9+Inputs!$D$7*SQRT(1/Inputs!$D$9)*F155</f>
        <v>1.3660170041701844E-2</v>
      </c>
      <c r="H155">
        <f t="shared" ca="1" si="8"/>
        <v>109.58252049379752</v>
      </c>
    </row>
    <row r="156" spans="5:8">
      <c r="E156">
        <f t="shared" si="6"/>
        <v>153</v>
      </c>
      <c r="F156">
        <f t="shared" ca="1" si="7"/>
        <v>0.20596621164885709</v>
      </c>
      <c r="G156">
        <f ca="1">(Inputs!$D$8-0.5*Inputs!$D$7^2)/Inputs!$D$9+Inputs!$D$7*SQRT(1/Inputs!$D$9)*F156</f>
        <v>2.5155652754204954E-3</v>
      </c>
      <c r="H156">
        <f t="shared" ca="1" si="8"/>
        <v>109.8585294909189</v>
      </c>
    </row>
    <row r="157" spans="5:8">
      <c r="E157">
        <f t="shared" si="6"/>
        <v>154</v>
      </c>
      <c r="F157">
        <f t="shared" ca="1" si="7"/>
        <v>4.1465821673630533E-2</v>
      </c>
      <c r="G157">
        <f ca="1">(Inputs!$D$8-0.5*Inputs!$D$7^2)/Inputs!$D$9+Inputs!$D$7*SQRT(1/Inputs!$D$9)*F157</f>
        <v>4.4305516852719928E-4</v>
      </c>
      <c r="H157">
        <f t="shared" ca="1" si="8"/>
        <v>109.90721366430759</v>
      </c>
    </row>
    <row r="158" spans="5:8">
      <c r="E158">
        <f t="shared" si="6"/>
        <v>155</v>
      </c>
      <c r="F158">
        <f t="shared" ca="1" si="7"/>
        <v>-0.20626359350836823</v>
      </c>
      <c r="G158">
        <f ca="1">(Inputs!$D$8-0.5*Inputs!$D$7^2)/Inputs!$D$9+Inputs!$D$7*SQRT(1/Inputs!$D$9)*F158</f>
        <v>-2.6780420934110747E-3</v>
      </c>
      <c r="H158">
        <f t="shared" ca="1" si="8"/>
        <v>109.61327129044749</v>
      </c>
    </row>
    <row r="159" spans="5:8">
      <c r="E159">
        <f t="shared" si="6"/>
        <v>156</v>
      </c>
      <c r="F159">
        <f t="shared" ca="1" si="7"/>
        <v>-1.0558354767261442</v>
      </c>
      <c r="G159">
        <f ca="1">(Inputs!$D$8-0.5*Inputs!$D$7^2)/Inputs!$D$9+Inputs!$D$7*SQRT(1/Inputs!$D$9)*F159</f>
        <v>-1.3381641730873192E-2</v>
      </c>
      <c r="H159">
        <f t="shared" ca="1" si="8"/>
        <v>108.15623626775931</v>
      </c>
    </row>
    <row r="160" spans="5:8">
      <c r="E160">
        <f t="shared" si="6"/>
        <v>157</v>
      </c>
      <c r="F160">
        <f t="shared" ca="1" si="7"/>
        <v>0.54474392329050192</v>
      </c>
      <c r="G160">
        <f ca="1">(Inputs!$D$8-0.5*Inputs!$D$7^2)/Inputs!$D$9+Inputs!$D$7*SQRT(1/Inputs!$D$9)*F160</f>
        <v>6.7837632503507037E-3</v>
      </c>
      <c r="H160">
        <f t="shared" ca="1" si="8"/>
        <v>108.89243685058516</v>
      </c>
    </row>
    <row r="161" spans="5:8">
      <c r="E161">
        <f t="shared" si="6"/>
        <v>158</v>
      </c>
      <c r="F161">
        <f t="shared" ca="1" si="7"/>
        <v>-1.9319068748578649</v>
      </c>
      <c r="G161">
        <f ca="1">(Inputs!$D$8-0.5*Inputs!$D$7^2)/Inputs!$D$9+Inputs!$D$7*SQRT(1/Inputs!$D$9)*F161</f>
        <v>-2.441910387465028E-2</v>
      </c>
      <c r="H161">
        <f t="shared" ca="1" si="8"/>
        <v>106.26558434582486</v>
      </c>
    </row>
    <row r="162" spans="5:8">
      <c r="E162">
        <f t="shared" si="6"/>
        <v>159</v>
      </c>
      <c r="F162">
        <f t="shared" ca="1" si="7"/>
        <v>-1.4632424985329902</v>
      </c>
      <c r="G162">
        <f ca="1">(Inputs!$D$8-0.5*Inputs!$D$7^2)/Inputs!$D$9+Inputs!$D$7*SQRT(1/Inputs!$D$9)*F162</f>
        <v>-1.8514487740789298E-2</v>
      </c>
      <c r="H162">
        <f t="shared" ca="1" si="8"/>
        <v>104.3162327938176</v>
      </c>
    </row>
    <row r="163" spans="5:8">
      <c r="E163">
        <f t="shared" si="6"/>
        <v>160</v>
      </c>
      <c r="F163">
        <f t="shared" ca="1" si="7"/>
        <v>0.5788557131294767</v>
      </c>
      <c r="G163">
        <f ca="1">(Inputs!$D$8-0.5*Inputs!$D$7^2)/Inputs!$D$9+Inputs!$D$7*SQRT(1/Inputs!$D$9)*F163</f>
        <v>7.213531406013691E-3</v>
      </c>
      <c r="H163">
        <f t="shared" ca="1" si="8"/>
        <v>105.07144180240918</v>
      </c>
    </row>
    <row r="164" spans="5:8">
      <c r="E164">
        <f t="shared" si="6"/>
        <v>161</v>
      </c>
      <c r="F164">
        <f t="shared" ca="1" si="7"/>
        <v>0.67425182824394159</v>
      </c>
      <c r="G164">
        <f ca="1">(Inputs!$D$8-0.5*Inputs!$D$7^2)/Inputs!$D$9+Inputs!$D$7*SQRT(1/Inputs!$D$9)*F164</f>
        <v>8.4154094852258998E-3</v>
      </c>
      <c r="H164">
        <f t="shared" ca="1" si="8"/>
        <v>105.95939200233241</v>
      </c>
    </row>
    <row r="165" spans="5:8">
      <c r="E165">
        <f t="shared" si="6"/>
        <v>162</v>
      </c>
      <c r="F165">
        <f t="shared" ca="1" si="7"/>
        <v>-1.3364302200886551</v>
      </c>
      <c r="G165">
        <f ca="1">(Inputs!$D$8-0.5*Inputs!$D$7^2)/Inputs!$D$9+Inputs!$D$7*SQRT(1/Inputs!$D$9)*F165</f>
        <v>-1.6916803207678882E-2</v>
      </c>
      <c r="H165">
        <f t="shared" ca="1" si="8"/>
        <v>104.18197432038049</v>
      </c>
    </row>
    <row r="166" spans="5:8">
      <c r="E166">
        <f t="shared" si="6"/>
        <v>163</v>
      </c>
      <c r="F166">
        <f t="shared" ca="1" si="7"/>
        <v>-0.9509900920102744</v>
      </c>
      <c r="G166">
        <f ca="1">(Inputs!$D$8-0.5*Inputs!$D$7^2)/Inputs!$D$9+Inputs!$D$7*SQRT(1/Inputs!$D$9)*F166</f>
        <v>-1.206071404482041E-2</v>
      </c>
      <c r="H166">
        <f t="shared" ca="1" si="8"/>
        <v>102.93301214684359</v>
      </c>
    </row>
    <row r="167" spans="5:8">
      <c r="E167">
        <f t="shared" si="6"/>
        <v>164</v>
      </c>
      <c r="F167">
        <f t="shared" ca="1" si="7"/>
        <v>-0.26046527991222085</v>
      </c>
      <c r="G167">
        <f ca="1">(Inputs!$D$8-0.5*Inputs!$D$7^2)/Inputs!$D$9+Inputs!$D$7*SQRT(1/Inputs!$D$9)*F167</f>
        <v>-3.3609191546725265E-3</v>
      </c>
      <c r="H167">
        <f t="shared" ca="1" si="8"/>
        <v>102.58764331812779</v>
      </c>
    </row>
    <row r="168" spans="5:8">
      <c r="E168">
        <f t="shared" si="6"/>
        <v>165</v>
      </c>
      <c r="F168">
        <f t="shared" ca="1" si="7"/>
        <v>-0.49977290926504508</v>
      </c>
      <c r="G168">
        <f ca="1">(Inputs!$D$8-0.5*Inputs!$D$7^2)/Inputs!$D$9+Inputs!$D$7*SQRT(1/Inputs!$D$9)*F168</f>
        <v>-6.3759118885201166E-3</v>
      </c>
      <c r="H168">
        <f t="shared" ca="1" si="8"/>
        <v>101.93563432821691</v>
      </c>
    </row>
    <row r="169" spans="5:8">
      <c r="E169">
        <f t="shared" si="6"/>
        <v>166</v>
      </c>
      <c r="F169">
        <f t="shared" ca="1" si="7"/>
        <v>1.0415414172015642</v>
      </c>
      <c r="G169">
        <f ca="1">(Inputs!$D$8-0.5*Inputs!$D$7^2)/Inputs!$D$9+Inputs!$D$7*SQRT(1/Inputs!$D$9)*F169</f>
        <v>1.3042823349630684E-2</v>
      </c>
      <c r="H169">
        <f t="shared" ca="1" si="8"/>
        <v>103.2738710210336</v>
      </c>
    </row>
    <row r="170" spans="5:8">
      <c r="E170">
        <f t="shared" si="6"/>
        <v>167</v>
      </c>
      <c r="F170">
        <f t="shared" ca="1" si="7"/>
        <v>-0.17422344320399594</v>
      </c>
      <c r="G170">
        <f ca="1">(Inputs!$D$8-0.5*Inputs!$D$7^2)/Inputs!$D$9+Inputs!$D$7*SQRT(1/Inputs!$D$9)*F170</f>
        <v>-2.2743741425801248E-3</v>
      </c>
      <c r="H170">
        <f t="shared" ca="1" si="8"/>
        <v>103.03925450318494</v>
      </c>
    </row>
    <row r="171" spans="5:8">
      <c r="E171">
        <f t="shared" si="6"/>
        <v>168</v>
      </c>
      <c r="F171">
        <f t="shared" ca="1" si="7"/>
        <v>0.6892750296094543</v>
      </c>
      <c r="G171">
        <f ca="1">(Inputs!$D$8-0.5*Inputs!$D$7^2)/Inputs!$D$9+Inputs!$D$7*SQRT(1/Inputs!$D$9)*F171</f>
        <v>8.6046840314601501E-3</v>
      </c>
      <c r="H171">
        <f t="shared" ca="1" si="8"/>
        <v>103.92970023903715</v>
      </c>
    </row>
    <row r="172" spans="5:8">
      <c r="E172">
        <f t="shared" si="6"/>
        <v>169</v>
      </c>
      <c r="F172">
        <f t="shared" ca="1" si="7"/>
        <v>-1.30106472923746</v>
      </c>
      <c r="G172">
        <f ca="1">(Inputs!$D$8-0.5*Inputs!$D$7^2)/Inputs!$D$9+Inputs!$D$7*SQRT(1/Inputs!$D$9)*F172</f>
        <v>-1.6471239903936064E-2</v>
      </c>
      <c r="H172">
        <f t="shared" ca="1" si="8"/>
        <v>102.23187028071445</v>
      </c>
    </row>
    <row r="173" spans="5:8">
      <c r="E173">
        <f t="shared" si="6"/>
        <v>170</v>
      </c>
      <c r="F173">
        <f t="shared" ca="1" si="7"/>
        <v>0.13047022718236709</v>
      </c>
      <c r="G173">
        <f ca="1">(Inputs!$D$8-0.5*Inputs!$D$7^2)/Inputs!$D$9+Inputs!$D$7*SQRT(1/Inputs!$D$9)*F173</f>
        <v>1.5644052759808383E-3</v>
      </c>
      <c r="H173">
        <f t="shared" ca="1" si="8"/>
        <v>102.39192752250857</v>
      </c>
    </row>
    <row r="174" spans="5:8">
      <c r="E174">
        <f t="shared" si="6"/>
        <v>171</v>
      </c>
      <c r="F174">
        <f t="shared" ca="1" si="7"/>
        <v>0.67782596895561875</v>
      </c>
      <c r="G174">
        <f ca="1">(Inputs!$D$8-0.5*Inputs!$D$7^2)/Inputs!$D$9+Inputs!$D$7*SQRT(1/Inputs!$D$9)*F174</f>
        <v>8.4604394255775629E-3</v>
      </c>
      <c r="H174">
        <f t="shared" ca="1" si="8"/>
        <v>103.26188313716212</v>
      </c>
    </row>
    <row r="175" spans="5:8">
      <c r="E175">
        <f t="shared" si="6"/>
        <v>172</v>
      </c>
      <c r="F175">
        <f t="shared" ca="1" si="7"/>
        <v>0.23518757687887451</v>
      </c>
      <c r="G175">
        <f ca="1">(Inputs!$D$8-0.5*Inputs!$D$7^2)/Inputs!$D$9+Inputs!$D$7*SQRT(1/Inputs!$D$9)*F175</f>
        <v>2.8837198724129516E-3</v>
      </c>
      <c r="H175">
        <f t="shared" ca="1" si="8"/>
        <v>103.56009124930286</v>
      </c>
    </row>
    <row r="176" spans="5:8">
      <c r="E176">
        <f t="shared" si="6"/>
        <v>173</v>
      </c>
      <c r="F176">
        <f t="shared" ca="1" si="7"/>
        <v>-8.3350086586444258E-2</v>
      </c>
      <c r="G176">
        <f ca="1">(Inputs!$D$8-0.5*Inputs!$D$7^2)/Inputs!$D$9+Inputs!$D$7*SQRT(1/Inputs!$D$9)*F176</f>
        <v>-1.1294774644290417E-3</v>
      </c>
      <c r="H176">
        <f t="shared" ca="1" si="8"/>
        <v>103.44318849196546</v>
      </c>
    </row>
    <row r="177" spans="5:8">
      <c r="E177">
        <f t="shared" si="6"/>
        <v>174</v>
      </c>
      <c r="F177">
        <f t="shared" ca="1" si="7"/>
        <v>0.73012780197282012</v>
      </c>
      <c r="G177">
        <f ca="1">(Inputs!$D$8-0.5*Inputs!$D$7^2)/Inputs!$D$9+Inputs!$D$7*SQRT(1/Inputs!$D$9)*F177</f>
        <v>9.119380584036333E-3</v>
      </c>
      <c r="H177">
        <f t="shared" ca="1" si="8"/>
        <v>104.3908407298935</v>
      </c>
    </row>
    <row r="178" spans="5:8">
      <c r="E178">
        <f t="shared" si="6"/>
        <v>175</v>
      </c>
      <c r="F178">
        <f t="shared" ca="1" si="7"/>
        <v>1.5507978508485321</v>
      </c>
      <c r="G178">
        <f ca="1">(Inputs!$D$8-0.5*Inputs!$D$7^2)/Inputs!$D$9+Inputs!$D$7*SQRT(1/Inputs!$D$9)*F178</f>
        <v>1.9458851335295176E-2</v>
      </c>
      <c r="H178">
        <f t="shared" ca="1" si="8"/>
        <v>106.442059032885</v>
      </c>
    </row>
    <row r="179" spans="5:8">
      <c r="E179">
        <f t="shared" si="6"/>
        <v>176</v>
      </c>
      <c r="F179">
        <f t="shared" ca="1" si="7"/>
        <v>-1.4986690540174801</v>
      </c>
      <c r="G179">
        <f ca="1">(Inputs!$D$8-0.5*Inputs!$D$7^2)/Inputs!$D$9+Inputs!$D$7*SQRT(1/Inputs!$D$9)*F179</f>
        <v>-1.8960820386596879E-2</v>
      </c>
      <c r="H179">
        <f t="shared" ca="1" si="8"/>
        <v>104.4428435477691</v>
      </c>
    </row>
    <row r="180" spans="5:8">
      <c r="E180">
        <f t="shared" si="6"/>
        <v>177</v>
      </c>
      <c r="F180">
        <f t="shared" ca="1" si="7"/>
        <v>1.1401428655175827</v>
      </c>
      <c r="G180">
        <f ca="1">(Inputs!$D$8-0.5*Inputs!$D$7^2)/Inputs!$D$9+Inputs!$D$7*SQRT(1/Inputs!$D$9)*F180</f>
        <v>1.4285084831321035E-2</v>
      </c>
      <c r="H180">
        <f t="shared" ca="1" si="8"/>
        <v>105.94552584644646</v>
      </c>
    </row>
    <row r="181" spans="5:8">
      <c r="E181">
        <f t="shared" si="6"/>
        <v>178</v>
      </c>
      <c r="F181">
        <f t="shared" ca="1" si="7"/>
        <v>-0.45919554084931274</v>
      </c>
      <c r="G181">
        <f ca="1">(Inputs!$D$8-0.5*Inputs!$D$7^2)/Inputs!$D$9+Inputs!$D$7*SQRT(1/Inputs!$D$9)*F181</f>
        <v>-5.8646850995416654E-3</v>
      </c>
      <c r="H181">
        <f t="shared" ca="1" si="8"/>
        <v>105.32600711645438</v>
      </c>
    </row>
    <row r="182" spans="5:8">
      <c r="E182">
        <f t="shared" si="6"/>
        <v>179</v>
      </c>
      <c r="F182">
        <f t="shared" ca="1" si="7"/>
        <v>0.77027568556641735</v>
      </c>
      <c r="G182">
        <f ca="1">(Inputs!$D$8-0.5*Inputs!$D$7^2)/Inputs!$D$9+Inputs!$D$7*SQRT(1/Inputs!$D$9)*F182</f>
        <v>9.6251963728659923E-3</v>
      </c>
      <c r="H182">
        <f t="shared" ca="1" si="8"/>
        <v>106.34468524206304</v>
      </c>
    </row>
    <row r="183" spans="5:8">
      <c r="E183">
        <f t="shared" si="6"/>
        <v>180</v>
      </c>
      <c r="F183">
        <f t="shared" ca="1" si="7"/>
        <v>-0.13064875931758363</v>
      </c>
      <c r="G183">
        <f ca="1">(Inputs!$D$8-0.5*Inputs!$D$7^2)/Inputs!$D$9+Inputs!$D$7*SQRT(1/Inputs!$D$9)*F183</f>
        <v>-1.7253847281910751E-3</v>
      </c>
      <c r="H183">
        <f t="shared" ca="1" si="8"/>
        <v>106.16135794675959</v>
      </c>
    </row>
    <row r="184" spans="5:8">
      <c r="E184">
        <f t="shared" si="6"/>
        <v>181</v>
      </c>
      <c r="F184">
        <f t="shared" ca="1" si="7"/>
        <v>-1.3911398352746183</v>
      </c>
      <c r="G184">
        <f ca="1">(Inputs!$D$8-0.5*Inputs!$D$7^2)/Inputs!$D$9+Inputs!$D$7*SQRT(1/Inputs!$D$9)*F184</f>
        <v>-1.7606079570088889E-2</v>
      </c>
      <c r="H184">
        <f t="shared" ca="1" si="8"/>
        <v>104.30863012607631</v>
      </c>
    </row>
    <row r="185" spans="5:8">
      <c r="E185">
        <f t="shared" si="6"/>
        <v>182</v>
      </c>
      <c r="F185">
        <f t="shared" ca="1" si="7"/>
        <v>1.0377139278967062</v>
      </c>
      <c r="G185">
        <f ca="1">(Inputs!$D$8-0.5*Inputs!$D$7^2)/Inputs!$D$9+Inputs!$D$7*SQRT(1/Inputs!$D$9)*F185</f>
        <v>1.2994601517028715E-2</v>
      </c>
      <c r="H185">
        <f t="shared" ca="1" si="8"/>
        <v>105.67292424073753</v>
      </c>
    </row>
    <row r="186" spans="5:8">
      <c r="E186">
        <f t="shared" si="6"/>
        <v>183</v>
      </c>
      <c r="F186">
        <f t="shared" ca="1" si="7"/>
        <v>-4.6268076810237696E-3</v>
      </c>
      <c r="G186">
        <f ca="1">(Inputs!$D$8-0.5*Inputs!$D$7^2)/Inputs!$D$9+Inputs!$D$7*SQRT(1/Inputs!$D$9)*F186</f>
        <v>-1.3765737692751919E-4</v>
      </c>
      <c r="H186">
        <f t="shared" ca="1" si="8"/>
        <v>105.65837858435572</v>
      </c>
    </row>
    <row r="187" spans="5:8">
      <c r="E187">
        <f t="shared" si="6"/>
        <v>184</v>
      </c>
      <c r="F187">
        <f t="shared" ca="1" si="7"/>
        <v>0.60445104058507215</v>
      </c>
      <c r="G187">
        <f ca="1">(Inputs!$D$8-0.5*Inputs!$D$7^2)/Inputs!$D$9+Inputs!$D$7*SQRT(1/Inputs!$D$9)*F187</f>
        <v>7.5360022211221154E-3</v>
      </c>
      <c r="H187">
        <f t="shared" ca="1" si="8"/>
        <v>106.4576281507679</v>
      </c>
    </row>
    <row r="188" spans="5:8">
      <c r="E188">
        <f t="shared" si="6"/>
        <v>185</v>
      </c>
      <c r="F188">
        <f t="shared" ca="1" si="7"/>
        <v>0.75045961636940994</v>
      </c>
      <c r="G188">
        <f ca="1">(Inputs!$D$8-0.5*Inputs!$D$7^2)/Inputs!$D$9+Inputs!$D$7*SQRT(1/Inputs!$D$9)*F188</f>
        <v>9.3755373678272823E-3</v>
      </c>
      <c r="H188">
        <f t="shared" ca="1" si="8"/>
        <v>107.46041912823465</v>
      </c>
    </row>
    <row r="189" spans="5:8">
      <c r="E189">
        <f t="shared" si="6"/>
        <v>186</v>
      </c>
      <c r="F189">
        <f t="shared" ca="1" si="7"/>
        <v>-0.30352382012569323</v>
      </c>
      <c r="G189">
        <f ca="1">(Inputs!$D$8-0.5*Inputs!$D$7^2)/Inputs!$D$9+Inputs!$D$7*SQRT(1/Inputs!$D$9)*F189</f>
        <v>-3.903405770016917E-3</v>
      </c>
      <c r="H189">
        <f t="shared" ca="1" si="8"/>
        <v>107.04177510846058</v>
      </c>
    </row>
    <row r="190" spans="5:8">
      <c r="E190">
        <f t="shared" si="6"/>
        <v>187</v>
      </c>
      <c r="F190">
        <f t="shared" ca="1" si="7"/>
        <v>-1.2784854998610624</v>
      </c>
      <c r="G190">
        <f ca="1">(Inputs!$D$8-0.5*Inputs!$D$7^2)/Inputs!$D$9+Inputs!$D$7*SQRT(1/Inputs!$D$9)*F190</f>
        <v>-1.6186768352862577E-2</v>
      </c>
      <c r="H190">
        <f t="shared" ca="1" si="8"/>
        <v>105.32306241948741</v>
      </c>
    </row>
    <row r="191" spans="5:8">
      <c r="E191">
        <f t="shared" si="6"/>
        <v>188</v>
      </c>
      <c r="F191">
        <f t="shared" ca="1" si="7"/>
        <v>0.56317769598531509</v>
      </c>
      <c r="G191">
        <f ca="1">(Inputs!$D$8-0.5*Inputs!$D$7^2)/Inputs!$D$9+Inputs!$D$7*SQRT(1/Inputs!$D$9)*F191</f>
        <v>7.0160069564229348E-3</v>
      </c>
      <c r="H191">
        <f t="shared" ca="1" si="8"/>
        <v>106.0646080609442</v>
      </c>
    </row>
    <row r="192" spans="5:8">
      <c r="E192">
        <f t="shared" si="6"/>
        <v>189</v>
      </c>
      <c r="F192">
        <f t="shared" ca="1" si="7"/>
        <v>-1.8570425223574707</v>
      </c>
      <c r="G192">
        <f ca="1">(Inputs!$D$8-0.5*Inputs!$D$7^2)/Inputs!$D$9+Inputs!$D$7*SQRT(1/Inputs!$D$9)*F192</f>
        <v>-2.3475901689983997E-2</v>
      </c>
      <c r="H192">
        <f t="shared" ca="1" si="8"/>
        <v>103.60364543006536</v>
      </c>
    </row>
    <row r="193" spans="5:8">
      <c r="E193">
        <f t="shared" si="6"/>
        <v>190</v>
      </c>
      <c r="F193">
        <f t="shared" ca="1" si="7"/>
        <v>-0.29428730299103095</v>
      </c>
      <c r="G193">
        <f ca="1">(Inputs!$D$8-0.5*Inputs!$D$7^2)/Inputs!$D$9+Inputs!$D$7*SQRT(1/Inputs!$D$9)*F193</f>
        <v>-3.7870365923088059E-3</v>
      </c>
      <c r="H193">
        <f t="shared" ca="1" si="8"/>
        <v>103.21203662019767</v>
      </c>
    </row>
    <row r="194" spans="5:8">
      <c r="E194">
        <f t="shared" si="6"/>
        <v>191</v>
      </c>
      <c r="F194">
        <f t="shared" ca="1" si="7"/>
        <v>0.86790311739951331</v>
      </c>
      <c r="G194">
        <f ca="1">(Inputs!$D$8-0.5*Inputs!$D$7^2)/Inputs!$D$9+Inputs!$D$7*SQRT(1/Inputs!$D$9)*F194</f>
        <v>1.0855186400334005E-2</v>
      </c>
      <c r="H194">
        <f t="shared" ca="1" si="8"/>
        <v>104.33852557864169</v>
      </c>
    </row>
    <row r="195" spans="5:8">
      <c r="E195">
        <f t="shared" si="6"/>
        <v>192</v>
      </c>
      <c r="F195">
        <f t="shared" ca="1" si="7"/>
        <v>-0.45814150388240144</v>
      </c>
      <c r="G195">
        <f ca="1">(Inputs!$D$8-0.5*Inputs!$D$7^2)/Inputs!$D$9+Inputs!$D$7*SQRT(1/Inputs!$D$9)*F195</f>
        <v>-5.8514054819839697E-3</v>
      </c>
      <c r="H195">
        <f t="shared" ca="1" si="8"/>
        <v>103.72978129978979</v>
      </c>
    </row>
    <row r="196" spans="5:8">
      <c r="E196">
        <f t="shared" si="6"/>
        <v>193</v>
      </c>
      <c r="F196">
        <f t="shared" ca="1" si="7"/>
        <v>0.47245648020684483</v>
      </c>
      <c r="G196">
        <f ca="1">(Inputs!$D$8-0.5*Inputs!$D$7^2)/Inputs!$D$9+Inputs!$D$7*SQRT(1/Inputs!$D$9)*F196</f>
        <v>5.873027072674071E-3</v>
      </c>
      <c r="H196">
        <f t="shared" ca="1" si="8"/>
        <v>104.34078156792393</v>
      </c>
    </row>
    <row r="197" spans="5:8">
      <c r="E197">
        <f t="shared" ref="E197:E244" si="9">+E196+1</f>
        <v>194</v>
      </c>
      <c r="F197">
        <f t="shared" ref="F197:F255" ca="1" si="10">_xlfn.NORM.S.INV(RAND())</f>
        <v>0.7288507650404118</v>
      </c>
      <c r="G197">
        <f ca="1">(Inputs!$D$8-0.5*Inputs!$D$7^2)/Inputs!$D$9+Inputs!$D$7*SQRT(1/Inputs!$D$9)*F197</f>
        <v>9.1032914309972981E-3</v>
      </c>
      <c r="H197">
        <f t="shared" ref="H197:H255" ca="1" si="11">H196*EXP(G197)</f>
        <v>105.29496261535169</v>
      </c>
    </row>
    <row r="198" spans="5:8">
      <c r="E198">
        <f t="shared" si="9"/>
        <v>195</v>
      </c>
      <c r="F198">
        <f t="shared" ca="1" si="10"/>
        <v>1.0422917466077883</v>
      </c>
      <c r="G198">
        <f ca="1">(Inputs!$D$8-0.5*Inputs!$D$7^2)/Inputs!$D$9+Inputs!$D$7*SQRT(1/Inputs!$D$9)*F198</f>
        <v>1.3052276611584245E-2</v>
      </c>
      <c r="H198">
        <f t="shared" ca="1" si="11"/>
        <v>106.67830986963409</v>
      </c>
    </row>
    <row r="199" spans="5:8">
      <c r="E199">
        <f t="shared" si="9"/>
        <v>196</v>
      </c>
      <c r="F199">
        <f t="shared" ca="1" si="10"/>
        <v>1.223291970814254</v>
      </c>
      <c r="G199">
        <f ca="1">(Inputs!$D$8-0.5*Inputs!$D$7^2)/Inputs!$D$9+Inputs!$D$7*SQRT(1/Inputs!$D$9)*F199</f>
        <v>1.5332665090142538E-2</v>
      </c>
      <c r="H199">
        <f t="shared" ca="1" si="11"/>
        <v>108.32657653676479</v>
      </c>
    </row>
    <row r="200" spans="5:8">
      <c r="E200">
        <f t="shared" si="9"/>
        <v>197</v>
      </c>
      <c r="F200">
        <f t="shared" ca="1" si="10"/>
        <v>-0.62311409888566038</v>
      </c>
      <c r="G200">
        <f ca="1">(Inputs!$D$8-0.5*Inputs!$D$7^2)/Inputs!$D$9+Inputs!$D$7*SQRT(1/Inputs!$D$9)*F200</f>
        <v>-7.9298648130296853E-3</v>
      </c>
      <c r="H200">
        <f t="shared" ca="1" si="11"/>
        <v>107.47095838095444</v>
      </c>
    </row>
    <row r="201" spans="5:8">
      <c r="E201">
        <f t="shared" si="9"/>
        <v>198</v>
      </c>
      <c r="F201">
        <f t="shared" ca="1" si="10"/>
        <v>0.67061594790380374</v>
      </c>
      <c r="G201">
        <f ca="1">(Inputs!$D$8-0.5*Inputs!$D$7^2)/Inputs!$D$9+Inputs!$D$7*SQRT(1/Inputs!$D$9)*F201</f>
        <v>8.3696016986697392E-3</v>
      </c>
      <c r="H201">
        <f t="shared" ca="1" si="11"/>
        <v>108.37422220317383</v>
      </c>
    </row>
    <row r="202" spans="5:8">
      <c r="E202">
        <f t="shared" si="9"/>
        <v>199</v>
      </c>
      <c r="F202">
        <f t="shared" ca="1" si="10"/>
        <v>1.3154383287947979</v>
      </c>
      <c r="G202">
        <f ca="1">(Inputs!$D$8-0.5*Inputs!$D$7^2)/Inputs!$D$9+Inputs!$D$7*SQRT(1/Inputs!$D$9)*F202</f>
        <v>1.6493600077937071E-2</v>
      </c>
      <c r="H202">
        <f t="shared" ca="1" si="11"/>
        <v>110.17652566131889</v>
      </c>
    </row>
    <row r="203" spans="5:8">
      <c r="E203">
        <f t="shared" si="9"/>
        <v>200</v>
      </c>
      <c r="F203">
        <f t="shared" ca="1" si="10"/>
        <v>0.26333744955594052</v>
      </c>
      <c r="G203">
        <f ca="1">(Inputs!$D$8-0.5*Inputs!$D$7^2)/Inputs!$D$9+Inputs!$D$7*SQRT(1/Inputs!$D$9)*F203</f>
        <v>3.2383749321350883E-3</v>
      </c>
      <c r="H203">
        <f t="shared" ca="1" si="11"/>
        <v>110.53389689884399</v>
      </c>
    </row>
    <row r="204" spans="5:8">
      <c r="E204">
        <f t="shared" si="9"/>
        <v>201</v>
      </c>
      <c r="F204">
        <f t="shared" ca="1" si="10"/>
        <v>1.5523181451481518</v>
      </c>
      <c r="G204">
        <f ca="1">(Inputs!$D$8-0.5*Inputs!$D$7^2)/Inputs!$D$9+Inputs!$D$7*SQRT(1/Inputs!$D$9)*F204</f>
        <v>1.9478005243087668E-2</v>
      </c>
      <c r="H204">
        <f t="shared" ca="1" si="11"/>
        <v>112.70798140130178</v>
      </c>
    </row>
    <row r="205" spans="5:8">
      <c r="E205">
        <f t="shared" si="9"/>
        <v>202</v>
      </c>
      <c r="F205">
        <f t="shared" ca="1" si="10"/>
        <v>-0.31924662349242394</v>
      </c>
      <c r="G205">
        <f ca="1">(Inputs!$D$8-0.5*Inputs!$D$7^2)/Inputs!$D$9+Inputs!$D$7*SQRT(1/Inputs!$D$9)*F205</f>
        <v>-4.1014944729747191E-3</v>
      </c>
      <c r="H205">
        <f t="shared" ca="1" si="11"/>
        <v>112.24665694508759</v>
      </c>
    </row>
    <row r="206" spans="5:8">
      <c r="E206">
        <f t="shared" si="9"/>
        <v>203</v>
      </c>
      <c r="F206">
        <f t="shared" ca="1" si="10"/>
        <v>-0.86494699649828388</v>
      </c>
      <c r="G206">
        <f ca="1">(Inputs!$D$8-0.5*Inputs!$D$7^2)/Inputs!$D$9+Inputs!$D$7*SQRT(1/Inputs!$D$9)*F206</f>
        <v>-1.0976672936444673E-2</v>
      </c>
      <c r="H206">
        <f t="shared" ca="1" si="11"/>
        <v>111.02129958041684</v>
      </c>
    </row>
    <row r="207" spans="5:8">
      <c r="E207">
        <f t="shared" si="9"/>
        <v>204</v>
      </c>
      <c r="F207">
        <f t="shared" ca="1" si="10"/>
        <v>-1.3017238196448462</v>
      </c>
      <c r="G207">
        <f ca="1">(Inputs!$D$8-0.5*Inputs!$D$7^2)/Inputs!$D$9+Inputs!$D$7*SQRT(1/Inputs!$D$9)*F207</f>
        <v>-1.6479543662552502E-2</v>
      </c>
      <c r="H207">
        <f t="shared" ca="1" si="11"/>
        <v>109.20671207973339</v>
      </c>
    </row>
    <row r="208" spans="5:8">
      <c r="E208">
        <f t="shared" si="9"/>
        <v>205</v>
      </c>
      <c r="F208">
        <f t="shared" ca="1" si="10"/>
        <v>0.34435992927539133</v>
      </c>
      <c r="G208">
        <f ca="1">(Inputs!$D$8-0.5*Inputs!$D$7^2)/Inputs!$D$9+Inputs!$D$7*SQRT(1/Inputs!$D$9)*F208</f>
        <v>4.2591622271038561E-3</v>
      </c>
      <c r="H208">
        <f t="shared" ca="1" si="11"/>
        <v>109.67283312069766</v>
      </c>
    </row>
    <row r="209" spans="5:8">
      <c r="E209">
        <f t="shared" si="9"/>
        <v>206</v>
      </c>
      <c r="F209">
        <f t="shared" ca="1" si="10"/>
        <v>2.4925433875547625</v>
      </c>
      <c r="G209">
        <f ca="1">(Inputs!$D$8-0.5*Inputs!$D$7^2)/Inputs!$D$9+Inputs!$D$7*SQRT(1/Inputs!$D$9)*F209</f>
        <v>3.1323729851627249E-2</v>
      </c>
      <c r="H209">
        <f t="shared" ca="1" si="11"/>
        <v>113.16256570563485</v>
      </c>
    </row>
    <row r="210" spans="5:8">
      <c r="E210">
        <f t="shared" si="9"/>
        <v>207</v>
      </c>
      <c r="F210">
        <f t="shared" ca="1" si="10"/>
        <v>-4.3516590558596316E-2</v>
      </c>
      <c r="G210">
        <f ca="1">(Inputs!$D$8-0.5*Inputs!$D$7^2)/Inputs!$D$9+Inputs!$D$7*SQRT(1/Inputs!$D$9)*F210</f>
        <v>-6.2762258661968511E-4</v>
      </c>
      <c r="H210">
        <f t="shared" ca="1" si="11"/>
        <v>113.09156460671551</v>
      </c>
    </row>
    <row r="211" spans="5:8">
      <c r="E211">
        <f t="shared" si="9"/>
        <v>208</v>
      </c>
      <c r="F211">
        <f t="shared" ca="1" si="10"/>
        <v>-0.1480917536577625</v>
      </c>
      <c r="G211">
        <f ca="1">(Inputs!$D$8-0.5*Inputs!$D$7^2)/Inputs!$D$9+Inputs!$D$7*SQRT(1/Inputs!$D$9)*F211</f>
        <v>-1.945145800307363E-3</v>
      </c>
      <c r="H211">
        <f t="shared" ca="1" si="11"/>
        <v>112.87179883229915</v>
      </c>
    </row>
    <row r="212" spans="5:8">
      <c r="E212">
        <f t="shared" si="9"/>
        <v>209</v>
      </c>
      <c r="F212">
        <f t="shared" ca="1" si="10"/>
        <v>1.3851192866253648</v>
      </c>
      <c r="G212">
        <f ca="1">(Inputs!$D$8-0.5*Inputs!$D$7^2)/Inputs!$D$9+Inputs!$D$7*SQRT(1/Inputs!$D$9)*F212</f>
        <v>1.7371497628110681E-2</v>
      </c>
      <c r="H212">
        <f t="shared" ca="1" si="11"/>
        <v>114.84968066441584</v>
      </c>
    </row>
    <row r="213" spans="5:8">
      <c r="E213">
        <f t="shared" si="9"/>
        <v>210</v>
      </c>
      <c r="F213">
        <f t="shared" ca="1" si="10"/>
        <v>0.65697341171898693</v>
      </c>
      <c r="G213">
        <f ca="1">(Inputs!$D$8-0.5*Inputs!$D$7^2)/Inputs!$D$9+Inputs!$D$7*SQRT(1/Inputs!$D$9)*F213</f>
        <v>8.1977218986829525E-3</v>
      </c>
      <c r="H213">
        <f t="shared" ca="1" si="11"/>
        <v>115.79505607470227</v>
      </c>
    </row>
    <row r="214" spans="5:8">
      <c r="E214">
        <f t="shared" si="9"/>
        <v>211</v>
      </c>
      <c r="F214">
        <f t="shared" ca="1" si="10"/>
        <v>1.5591047117578765</v>
      </c>
      <c r="G214">
        <f ca="1">(Inputs!$D$8-0.5*Inputs!$D$7^2)/Inputs!$D$9+Inputs!$D$7*SQRT(1/Inputs!$D$9)*F214</f>
        <v>1.9563507945493885E-2</v>
      </c>
      <c r="H214">
        <f t="shared" ca="1" si="11"/>
        <v>118.08271795721149</v>
      </c>
    </row>
    <row r="215" spans="5:8">
      <c r="E215">
        <f t="shared" si="9"/>
        <v>212</v>
      </c>
      <c r="F215">
        <f t="shared" ca="1" si="10"/>
        <v>-0.12831061541761704</v>
      </c>
      <c r="G215">
        <f ca="1">(Inputs!$D$8-0.5*Inputs!$D$7^2)/Inputs!$D$9+Inputs!$D$7*SQRT(1/Inputs!$D$9)*F215</f>
        <v>-1.6959268839587213E-3</v>
      </c>
      <c r="H215">
        <f t="shared" ca="1" si="11"/>
        <v>117.88262801820801</v>
      </c>
    </row>
    <row r="216" spans="5:8">
      <c r="E216">
        <f t="shared" si="9"/>
        <v>213</v>
      </c>
      <c r="F216">
        <f t="shared" ca="1" si="10"/>
        <v>8.2114219672325503E-2</v>
      </c>
      <c r="G216">
        <f ca="1">(Inputs!$D$8-0.5*Inputs!$D$7^2)/Inputs!$D$9+Inputs!$D$7*SQRT(1/Inputs!$D$9)*F216</f>
        <v>9.5517684613540172E-4</v>
      </c>
      <c r="H216">
        <f t="shared" ca="1" si="11"/>
        <v>117.99528056804122</v>
      </c>
    </row>
    <row r="217" spans="5:8">
      <c r="E217">
        <f t="shared" si="9"/>
        <v>214</v>
      </c>
      <c r="F217">
        <f t="shared" ca="1" si="10"/>
        <v>1.0549016852879856</v>
      </c>
      <c r="G217">
        <f ca="1">(Inputs!$D$8-0.5*Inputs!$D$7^2)/Inputs!$D$9+Inputs!$D$7*SQRT(1/Inputs!$D$9)*F217</f>
        <v>1.3211146905848892E-2</v>
      </c>
      <c r="H217">
        <f t="shared" ca="1" si="11"/>
        <v>119.56447616746482</v>
      </c>
    </row>
    <row r="218" spans="5:8">
      <c r="E218">
        <f t="shared" si="9"/>
        <v>215</v>
      </c>
      <c r="F218">
        <f t="shared" ca="1" si="10"/>
        <v>0.646795152295494</v>
      </c>
      <c r="G218">
        <f ca="1">(Inputs!$D$8-0.5*Inputs!$D$7^2)/Inputs!$D$9+Inputs!$D$7*SQRT(1/Inputs!$D$9)*F218</f>
        <v>8.0694878833778953E-3</v>
      </c>
      <c r="H218">
        <f t="shared" ca="1" si="11"/>
        <v>120.53320356951384</v>
      </c>
    </row>
    <row r="219" spans="5:8">
      <c r="E219">
        <f t="shared" si="9"/>
        <v>216</v>
      </c>
      <c r="F219">
        <f t="shared" ca="1" si="10"/>
        <v>0.16726619908050386</v>
      </c>
      <c r="G219">
        <f ca="1">(Inputs!$D$8-0.5*Inputs!$D$7^2)/Inputs!$D$9+Inputs!$D$7*SQRT(1/Inputs!$D$9)*F219</f>
        <v>2.0279909468922251E-3</v>
      </c>
      <c r="H219">
        <f t="shared" ca="1" si="11"/>
        <v>120.77789184409383</v>
      </c>
    </row>
    <row r="220" spans="5:8">
      <c r="E220">
        <f t="shared" si="9"/>
        <v>217</v>
      </c>
      <c r="F220">
        <f t="shared" ca="1" si="10"/>
        <v>1.0059097459538942</v>
      </c>
      <c r="G220">
        <f ca="1">(Inputs!$D$8-0.5*Inputs!$D$7^2)/Inputs!$D$9+Inputs!$D$7*SQRT(1/Inputs!$D$9)*F220</f>
        <v>1.2593906488111897E-2</v>
      </c>
      <c r="H220">
        <f t="shared" ca="1" si="11"/>
        <v>122.30857573338001</v>
      </c>
    </row>
    <row r="221" spans="5:8">
      <c r="E221">
        <f t="shared" si="9"/>
        <v>218</v>
      </c>
      <c r="F221">
        <f t="shared" ca="1" si="10"/>
        <v>0.75584286522208399</v>
      </c>
      <c r="G221">
        <f ca="1">(Inputs!$D$8-0.5*Inputs!$D$7^2)/Inputs!$D$9+Inputs!$D$7*SQRT(1/Inputs!$D$9)*F221</f>
        <v>9.4433599283498988E-3</v>
      </c>
      <c r="H221">
        <f t="shared" ca="1" si="11"/>
        <v>123.46905040238525</v>
      </c>
    </row>
    <row r="222" spans="5:8">
      <c r="E222">
        <f t="shared" si="9"/>
        <v>219</v>
      </c>
      <c r="F222">
        <f t="shared" ca="1" si="10"/>
        <v>1.1648173665709236</v>
      </c>
      <c r="G222">
        <f ca="1">(Inputs!$D$8-0.5*Inputs!$D$7^2)/Inputs!$D$9+Inputs!$D$7*SQRT(1/Inputs!$D$9)*F222</f>
        <v>1.4595954324234087E-2</v>
      </c>
      <c r="H222">
        <f t="shared" ca="1" si="11"/>
        <v>125.28441528502114</v>
      </c>
    </row>
    <row r="223" spans="5:8">
      <c r="E223">
        <f t="shared" si="9"/>
        <v>220</v>
      </c>
      <c r="F223">
        <f t="shared" ca="1" si="10"/>
        <v>-1.118097961653076</v>
      </c>
      <c r="G223">
        <f ca="1">(Inputs!$D$8-0.5*Inputs!$D$7^2)/Inputs!$D$9+Inputs!$D$7*SQRT(1/Inputs!$D$9)*F223</f>
        <v>-1.4166075307661615E-2</v>
      </c>
      <c r="H223">
        <f t="shared" ca="1" si="11"/>
        <v>123.52213856627564</v>
      </c>
    </row>
    <row r="224" spans="5:8">
      <c r="E224">
        <f t="shared" si="9"/>
        <v>221</v>
      </c>
      <c r="F224">
        <f t="shared" ca="1" si="10"/>
        <v>-1.5268356811571864</v>
      </c>
      <c r="G224">
        <f ca="1">(Inputs!$D$8-0.5*Inputs!$D$7^2)/Inputs!$D$9+Inputs!$D$7*SQRT(1/Inputs!$D$9)*F224</f>
        <v>-1.9315686532707096E-2</v>
      </c>
      <c r="H224">
        <f t="shared" ca="1" si="11"/>
        <v>121.15911880133334</v>
      </c>
    </row>
    <row r="225" spans="5:8">
      <c r="E225">
        <f t="shared" si="9"/>
        <v>222</v>
      </c>
      <c r="F225">
        <f t="shared" ca="1" si="10"/>
        <v>-0.51743581155793306</v>
      </c>
      <c r="G225">
        <f ca="1">(Inputs!$D$8-0.5*Inputs!$D$7^2)/Inputs!$D$9+Inputs!$D$7*SQRT(1/Inputs!$D$9)*F225</f>
        <v>-6.5984435404182794E-3</v>
      </c>
      <c r="H225">
        <f t="shared" ca="1" si="11"/>
        <v>120.36228900585027</v>
      </c>
    </row>
    <row r="226" spans="5:8">
      <c r="E226">
        <f t="shared" si="9"/>
        <v>223</v>
      </c>
      <c r="F226">
        <f t="shared" ca="1" si="10"/>
        <v>6.9426661873863746E-2</v>
      </c>
      <c r="G226">
        <f ca="1">(Inputs!$D$8-0.5*Inputs!$D$7^2)/Inputs!$D$9+Inputs!$D$7*SQRT(1/Inputs!$D$9)*F226</f>
        <v>7.9532864289974471E-4</v>
      </c>
      <c r="H226">
        <f t="shared" ca="1" si="11"/>
        <v>120.4580546593572</v>
      </c>
    </row>
    <row r="227" spans="5:8">
      <c r="E227">
        <f t="shared" si="9"/>
        <v>224</v>
      </c>
      <c r="F227">
        <f t="shared" ca="1" si="10"/>
        <v>0.14328049012219313</v>
      </c>
      <c r="G227">
        <f ca="1">(Inputs!$D$8-0.5*Inputs!$D$7^2)/Inputs!$D$9+Inputs!$D$7*SQRT(1/Inputs!$D$9)*F227</f>
        <v>1.7257994186862045E-3</v>
      </c>
      <c r="H227">
        <f t="shared" ca="1" si="11"/>
        <v>120.66612058845246</v>
      </c>
    </row>
    <row r="228" spans="5:8">
      <c r="E228">
        <f t="shared" si="9"/>
        <v>225</v>
      </c>
      <c r="F228">
        <f t="shared" ca="1" si="10"/>
        <v>1.5772086333498776</v>
      </c>
      <c r="G228">
        <f ca="1">(Inputs!$D$8-0.5*Inputs!$D$7^2)/Inputs!$D$9+Inputs!$D$7*SQRT(1/Inputs!$D$9)*F228</f>
        <v>1.9791595918291258E-2</v>
      </c>
      <c r="H228">
        <f t="shared" ca="1" si="11"/>
        <v>123.0780852718643</v>
      </c>
    </row>
    <row r="229" spans="5:8">
      <c r="E229">
        <f t="shared" si="9"/>
        <v>226</v>
      </c>
      <c r="F229">
        <f t="shared" ca="1" si="10"/>
        <v>1.8173911788251302</v>
      </c>
      <c r="G229">
        <f ca="1">(Inputs!$D$8-0.5*Inputs!$D$7^2)/Inputs!$D$9+Inputs!$D$7*SQRT(1/Inputs!$D$9)*F229</f>
        <v>2.2817611559176876E-2</v>
      </c>
      <c r="H229">
        <f t="shared" ca="1" si="11"/>
        <v>125.91871819705091</v>
      </c>
    </row>
    <row r="230" spans="5:8">
      <c r="E230">
        <f t="shared" si="9"/>
        <v>227</v>
      </c>
      <c r="F230">
        <f t="shared" ca="1" si="10"/>
        <v>1.4244760434204982</v>
      </c>
      <c r="G230">
        <f ca="1">(Inputs!$D$8-0.5*Inputs!$D$7^2)/Inputs!$D$9+Inputs!$D$7*SQRT(1/Inputs!$D$9)*F230</f>
        <v>1.7867346156158179E-2</v>
      </c>
      <c r="H230">
        <f t="shared" ca="1" si="11"/>
        <v>128.18877104155953</v>
      </c>
    </row>
    <row r="231" spans="5:8">
      <c r="E231">
        <f t="shared" si="9"/>
        <v>228</v>
      </c>
      <c r="F231">
        <f t="shared" ca="1" si="10"/>
        <v>0.47103709291144424</v>
      </c>
      <c r="G231">
        <f ca="1">(Inputs!$D$8-0.5*Inputs!$D$7^2)/Inputs!$D$9+Inputs!$D$7*SQRT(1/Inputs!$D$9)*F231</f>
        <v>5.8551444736373356E-3</v>
      </c>
      <c r="H231">
        <f t="shared" ca="1" si="11"/>
        <v>128.94153644041941</v>
      </c>
    </row>
    <row r="232" spans="5:8">
      <c r="E232">
        <f t="shared" si="9"/>
        <v>229</v>
      </c>
      <c r="F232">
        <f t="shared" ca="1" si="10"/>
        <v>-3.1204698066455518E-2</v>
      </c>
      <c r="G232">
        <f ca="1">(Inputs!$D$8-0.5*Inputs!$D$7^2)/Inputs!$D$9+Inputs!$D$7*SQRT(1/Inputs!$D$9)*F232</f>
        <v>-4.725073213684098E-4</v>
      </c>
      <c r="H232">
        <f t="shared" ca="1" si="11"/>
        <v>128.88062501210402</v>
      </c>
    </row>
    <row r="233" spans="5:8">
      <c r="E233">
        <f t="shared" si="9"/>
        <v>230</v>
      </c>
      <c r="F233">
        <f t="shared" ca="1" si="10"/>
        <v>1.9374612352435993E-2</v>
      </c>
      <c r="G233">
        <f ca="1">(Inputs!$D$8-0.5*Inputs!$D$7^2)/Inputs!$D$9+Inputs!$D$7*SQRT(1/Inputs!$D$9)*F233</f>
        <v>1.647320922198051E-4</v>
      </c>
      <c r="H233">
        <f t="shared" ca="1" si="11"/>
        <v>128.90185753589989</v>
      </c>
    </row>
    <row r="234" spans="5:8">
      <c r="E234">
        <f t="shared" si="9"/>
        <v>231</v>
      </c>
      <c r="F234">
        <f t="shared" ca="1" si="10"/>
        <v>0.77201160929746337</v>
      </c>
      <c r="G234">
        <f ca="1">(Inputs!$D$8-0.5*Inputs!$D$7^2)/Inputs!$D$9+Inputs!$D$7*SQRT(1/Inputs!$D$9)*F234</f>
        <v>9.6470669561389607E-3</v>
      </c>
      <c r="H234">
        <f t="shared" ca="1" si="11"/>
        <v>130.15139990496837</v>
      </c>
    </row>
    <row r="235" spans="5:8">
      <c r="E235">
        <f t="shared" si="9"/>
        <v>232</v>
      </c>
      <c r="F235">
        <f t="shared" ca="1" si="10"/>
        <v>-2.2071654595452315</v>
      </c>
      <c r="G235">
        <f ca="1">(Inputs!$D$8-0.5*Inputs!$D$7^2)/Inputs!$D$9+Inputs!$D$7*SQRT(1/Inputs!$D$9)*F235</f>
        <v>-2.788703607140449E-2</v>
      </c>
      <c r="H235">
        <f t="shared" ca="1" si="11"/>
        <v>126.57200445380874</v>
      </c>
    </row>
    <row r="236" spans="5:8">
      <c r="E236">
        <f t="shared" si="9"/>
        <v>233</v>
      </c>
      <c r="F236">
        <f t="shared" ca="1" si="10"/>
        <v>1.1962242177007549</v>
      </c>
      <c r="G236">
        <f ca="1">(Inputs!$D$8-0.5*Inputs!$D$7^2)/Inputs!$D$9+Inputs!$D$7*SQRT(1/Inputs!$D$9)*F236</f>
        <v>1.4991643455439619E-2</v>
      </c>
      <c r="H236">
        <f t="shared" ca="1" si="11"/>
        <v>128.48382165039317</v>
      </c>
    </row>
    <row r="237" spans="5:8">
      <c r="E237">
        <f t="shared" si="9"/>
        <v>234</v>
      </c>
      <c r="F237">
        <f t="shared" ca="1" si="10"/>
        <v>-0.77536319162781286</v>
      </c>
      <c r="G237">
        <f ca="1">(Inputs!$D$8-0.5*Inputs!$D$7^2)/Inputs!$D$9+Inputs!$D$7*SQRT(1/Inputs!$D$9)*F237</f>
        <v>-9.8480230831770391E-3</v>
      </c>
      <c r="H237">
        <f t="shared" ca="1" si="11"/>
        <v>127.22472001594201</v>
      </c>
    </row>
    <row r="238" spans="5:8">
      <c r="E238">
        <f t="shared" si="9"/>
        <v>235</v>
      </c>
      <c r="F238">
        <f t="shared" ca="1" si="10"/>
        <v>-1.5922818490275368</v>
      </c>
      <c r="G238">
        <f ca="1">(Inputs!$D$8-0.5*Inputs!$D$7^2)/Inputs!$D$9+Inputs!$D$7*SQRT(1/Inputs!$D$9)*F238</f>
        <v>-2.0140230744360107E-2</v>
      </c>
      <c r="H238">
        <f t="shared" ca="1" si="11"/>
        <v>124.68801545219898</v>
      </c>
    </row>
    <row r="239" spans="5:8">
      <c r="E239">
        <f t="shared" si="9"/>
        <v>236</v>
      </c>
      <c r="F239">
        <f t="shared" ca="1" si="10"/>
        <v>-0.22096904036917289</v>
      </c>
      <c r="G239">
        <f ca="1">(Inputs!$D$8-0.5*Inputs!$D$7^2)/Inputs!$D$9+Inputs!$D$7*SQRT(1/Inputs!$D$9)*F239</f>
        <v>-2.8633133091813825E-3</v>
      </c>
      <c r="H239">
        <f t="shared" ca="1" si="11"/>
        <v>124.33150524184697</v>
      </c>
    </row>
    <row r="240" spans="5:8">
      <c r="E240">
        <f t="shared" si="9"/>
        <v>237</v>
      </c>
      <c r="F240">
        <f t="shared" ca="1" si="10"/>
        <v>-1.6205938476988901</v>
      </c>
      <c r="G240">
        <f ca="1">(Inputs!$D$8-0.5*Inputs!$D$7^2)/Inputs!$D$9+Inputs!$D$7*SQRT(1/Inputs!$D$9)*F240</f>
        <v>-2.0496928399615311E-2</v>
      </c>
      <c r="H240">
        <f t="shared" ca="1" si="11"/>
        <v>121.80903107929669</v>
      </c>
    </row>
    <row r="241" spans="5:8">
      <c r="E241">
        <f t="shared" si="9"/>
        <v>238</v>
      </c>
      <c r="F241">
        <f t="shared" ca="1" si="10"/>
        <v>-0.29514632857471118</v>
      </c>
      <c r="G241">
        <f ca="1">(Inputs!$D$8-0.5*Inputs!$D$7^2)/Inputs!$D$9+Inputs!$D$7*SQRT(1/Inputs!$D$9)*F241</f>
        <v>-3.7978592973767107E-3</v>
      </c>
      <c r="H241">
        <f t="shared" ca="1" si="11"/>
        <v>121.34729487766747</v>
      </c>
    </row>
    <row r="242" spans="5:8">
      <c r="E242">
        <f t="shared" si="9"/>
        <v>239</v>
      </c>
      <c r="F242">
        <f t="shared" ca="1" si="10"/>
        <v>-2.0203823059753669</v>
      </c>
      <c r="G242">
        <f ca="1">(Inputs!$D$8-0.5*Inputs!$D$7^2)/Inputs!$D$9+Inputs!$D$7*SQRT(1/Inputs!$D$9)*F242</f>
        <v>-2.5533789531203308E-2</v>
      </c>
      <c r="H242">
        <f t="shared" ca="1" si="11"/>
        <v>118.28806170802561</v>
      </c>
    </row>
    <row r="243" spans="5:8">
      <c r="E243">
        <f t="shared" si="9"/>
        <v>240</v>
      </c>
      <c r="F243">
        <f t="shared" ca="1" si="10"/>
        <v>0.5071231359155508</v>
      </c>
      <c r="G243">
        <f ca="1">(Inputs!$D$8-0.5*Inputs!$D$7^2)/Inputs!$D$9+Inputs!$D$7*SQRT(1/Inputs!$D$9)*F243</f>
        <v>6.3097858812051835E-3</v>
      </c>
      <c r="H243">
        <f t="shared" ca="1" si="11"/>
        <v>119.03679373496337</v>
      </c>
    </row>
    <row r="244" spans="5:8">
      <c r="E244">
        <f t="shared" si="9"/>
        <v>241</v>
      </c>
      <c r="F244">
        <f t="shared" ca="1" si="10"/>
        <v>0.77331120290566335</v>
      </c>
      <c r="G244">
        <f ca="1">(Inputs!$D$8-0.5*Inputs!$D$7^2)/Inputs!$D$9+Inputs!$D$7*SQRT(1/Inputs!$D$9)*F244</f>
        <v>9.6634402965806079E-3</v>
      </c>
      <c r="H244">
        <f t="shared" ca="1" si="11"/>
        <v>120.19267458223069</v>
      </c>
    </row>
    <row r="245" spans="5:8">
      <c r="E245">
        <f>+E244+1</f>
        <v>242</v>
      </c>
      <c r="F245">
        <f t="shared" ca="1" si="10"/>
        <v>-1.0690701186280027</v>
      </c>
      <c r="G245">
        <f ca="1">(Inputs!$D$8-0.5*Inputs!$D$7^2)/Inputs!$D$9+Inputs!$D$7*SQRT(1/Inputs!$D$9)*F245</f>
        <v>-1.3548382545936584E-2</v>
      </c>
      <c r="H245">
        <f t="shared" ca="1" si="11"/>
        <v>118.57523980145359</v>
      </c>
    </row>
    <row r="246" spans="5:8">
      <c r="E246">
        <f>+E245+1</f>
        <v>243</v>
      </c>
      <c r="F246">
        <f t="shared" ca="1" si="10"/>
        <v>0.95962235237956417</v>
      </c>
      <c r="G246">
        <f ca="1">(Inputs!$D$8-0.5*Inputs!$D$7^2)/Inputs!$D$9+Inputs!$D$7*SQRT(1/Inputs!$D$9)*F246</f>
        <v>1.2010740144135485E-2</v>
      </c>
      <c r="H246">
        <f t="shared" ca="1" si="11"/>
        <v>120.00800324503197</v>
      </c>
    </row>
    <row r="247" spans="5:8">
      <c r="E247">
        <f>+E246+1</f>
        <v>244</v>
      </c>
      <c r="F247">
        <f t="shared" ca="1" si="10"/>
        <v>0.45145696841430888</v>
      </c>
      <c r="G247">
        <f ca="1">(Inputs!$D$8-0.5*Inputs!$D$7^2)/Inputs!$D$9+Inputs!$D$7*SQRT(1/Inputs!$D$9)*F247</f>
        <v>5.6084580924035078E-3</v>
      </c>
      <c r="H247">
        <f t="shared" ca="1" si="11"/>
        <v>120.68295404943248</v>
      </c>
    </row>
    <row r="248" spans="5:8">
      <c r="E248">
        <f>+E247+1</f>
        <v>245</v>
      </c>
      <c r="F248">
        <f t="shared" ca="1" si="10"/>
        <v>0.93701672101601641</v>
      </c>
      <c r="G248">
        <f ca="1">(Inputs!$D$8-0.5*Inputs!$D$7^2)/Inputs!$D$9+Inputs!$D$7*SQRT(1/Inputs!$D$9)*F248</f>
        <v>1.1725935959290012E-2</v>
      </c>
      <c r="H248">
        <f t="shared" ca="1" si="11"/>
        <v>122.10640397126787</v>
      </c>
    </row>
    <row r="249" spans="5:8">
      <c r="E249">
        <f>+E248+1</f>
        <v>246</v>
      </c>
      <c r="F249">
        <f t="shared" ca="1" si="10"/>
        <v>0.86342022277234598</v>
      </c>
      <c r="G249">
        <f ca="1">(Inputs!$D$8-0.5*Inputs!$D$7^2)/Inputs!$D$9+Inputs!$D$7*SQRT(1/Inputs!$D$9)*F249</f>
        <v>1.0798707236823565E-2</v>
      </c>
      <c r="H249">
        <f t="shared" ca="1" si="11"/>
        <v>123.43214051685999</v>
      </c>
    </row>
    <row r="250" spans="5:8">
      <c r="E250">
        <f>+E249+1</f>
        <v>247</v>
      </c>
      <c r="F250">
        <f t="shared" ca="1" si="10"/>
        <v>0.48777588446553155</v>
      </c>
      <c r="G250">
        <f ca="1">(Inputs!$D$8-0.5*Inputs!$D$7^2)/Inputs!$D$9+Inputs!$D$7*SQRT(1/Inputs!$D$9)*F250</f>
        <v>6.0660334245890664E-3</v>
      </c>
      <c r="H250">
        <f t="shared" ca="1" si="11"/>
        <v>124.18315955728373</v>
      </c>
    </row>
    <row r="251" spans="5:8">
      <c r="E251">
        <f>+E250+1</f>
        <v>248</v>
      </c>
      <c r="F251">
        <f t="shared" ca="1" si="10"/>
        <v>1.0582007390806731</v>
      </c>
      <c r="G251">
        <f ca="1">(Inputs!$D$8-0.5*Inputs!$D$7^2)/Inputs!$D$9+Inputs!$D$7*SQRT(1/Inputs!$D$9)*F251</f>
        <v>1.32527110767883E-2</v>
      </c>
      <c r="H251">
        <f t="shared" ca="1" si="11"/>
        <v>125.83987684128174</v>
      </c>
    </row>
    <row r="252" spans="5:8">
      <c r="E252">
        <f>+E251+1</f>
        <v>249</v>
      </c>
      <c r="F252">
        <f t="shared" ca="1" si="10"/>
        <v>-0.56129217905408857</v>
      </c>
      <c r="G252">
        <f ca="1">(Inputs!$D$8-0.5*Inputs!$D$7^2)/Inputs!$D$9+Inputs!$D$7*SQRT(1/Inputs!$D$9)*F252</f>
        <v>-7.1509818347110597E-3</v>
      </c>
      <c r="H252">
        <f t="shared" ca="1" si="11"/>
        <v>124.94320802017511</v>
      </c>
    </row>
    <row r="253" spans="5:8">
      <c r="E253">
        <f>+E252+1</f>
        <v>250</v>
      </c>
      <c r="F253">
        <f t="shared" ca="1" si="10"/>
        <v>-1.022755585846935</v>
      </c>
      <c r="G253">
        <f ca="1">(Inputs!$D$8-0.5*Inputs!$D$7^2)/Inputs!$D$9+Inputs!$D$7*SQRT(1/Inputs!$D$9)*F253</f>
        <v>-1.2964874280094423E-2</v>
      </c>
      <c r="H253">
        <f t="shared" ca="1" si="11"/>
        <v>123.33379052735063</v>
      </c>
    </row>
    <row r="254" spans="5:8">
      <c r="E254">
        <f>+E253+1</f>
        <v>251</v>
      </c>
      <c r="F254">
        <f t="shared" ca="1" si="10"/>
        <v>1.7371240185023185</v>
      </c>
      <c r="G254">
        <f ca="1">(Inputs!$D$8-0.5*Inputs!$D$7^2)/Inputs!$D$9+Inputs!$D$7*SQRT(1/Inputs!$D$9)*F254</f>
        <v>2.1806340394131585E-2</v>
      </c>
      <c r="H254">
        <f t="shared" ca="1" si="11"/>
        <v>126.05278708480057</v>
      </c>
    </row>
    <row r="255" spans="5:8">
      <c r="E255">
        <f>+E254+1</f>
        <v>252</v>
      </c>
      <c r="F255">
        <f t="shared" ca="1" si="10"/>
        <v>-6.6677389248488997E-2</v>
      </c>
      <c r="G255">
        <f ca="1">(Inputs!$D$8-0.5*Inputs!$D$7^2)/Inputs!$D$9+Inputs!$D$7*SQRT(1/Inputs!$D$9)*F255</f>
        <v>-9.1942122232962131E-4</v>
      </c>
      <c r="H255">
        <f t="shared" ca="1" si="11"/>
        <v>125.93694473933691</v>
      </c>
    </row>
  </sheetData>
  <mergeCells count="1">
    <mergeCell ref="B2:C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25A8-EDB7-48B0-8E87-ACFA1254A691}">
  <dimension ref="C2:L255"/>
  <sheetViews>
    <sheetView showGridLines="0" zoomScale="85" zoomScaleNormal="85" workbookViewId="0">
      <selection activeCell="D41" sqref="D41"/>
    </sheetView>
  </sheetViews>
  <sheetFormatPr defaultColWidth="14.5703125" defaultRowHeight="15"/>
  <cols>
    <col min="8" max="8" width="16.5703125" customWidth="1"/>
    <col min="9" max="9" width="15.140625" customWidth="1"/>
    <col min="10" max="10" width="16.28515625" customWidth="1"/>
    <col min="11" max="11" width="16.85546875" customWidth="1"/>
    <col min="12" max="12" width="15.85546875" customWidth="1"/>
  </cols>
  <sheetData>
    <row r="2" spans="3:12">
      <c r="G2" s="11" t="s">
        <v>45</v>
      </c>
      <c r="H2" s="12" t="s">
        <v>48</v>
      </c>
      <c r="I2" s="12" t="s">
        <v>50</v>
      </c>
      <c r="J2" s="12" t="s">
        <v>51</v>
      </c>
      <c r="K2" s="12" t="s">
        <v>52</v>
      </c>
      <c r="L2" s="13" t="s">
        <v>53</v>
      </c>
    </row>
    <row r="3" spans="3:12">
      <c r="C3" s="30" t="s">
        <v>49</v>
      </c>
      <c r="D3" s="30"/>
      <c r="G3" s="58">
        <f>Simulation!E3</f>
        <v>0</v>
      </c>
      <c r="H3" s="19">
        <f>Simulation!H3</f>
        <v>100</v>
      </c>
      <c r="I3" s="19">
        <f>Inputs!$D$13</f>
        <v>100</v>
      </c>
      <c r="J3" s="19">
        <f>(Simulation!H3-Inputs!$D$13)/Inputs!$D$13*Inputs!$D$12</f>
        <v>0</v>
      </c>
      <c r="K3" s="19">
        <v>0</v>
      </c>
      <c r="L3" s="59">
        <v>0</v>
      </c>
    </row>
    <row r="4" spans="3:12">
      <c r="G4" s="58">
        <f>Simulation!E4</f>
        <v>1</v>
      </c>
      <c r="H4" s="19">
        <f ca="1">Simulation!H4</f>
        <v>102.53677871712287</v>
      </c>
      <c r="I4" s="19">
        <f>Inputs!$D$13</f>
        <v>100</v>
      </c>
      <c r="J4" s="19">
        <f ca="1">(Simulation!H4-Inputs!$D$13)/Inputs!$D$13*Inputs!$D$12</f>
        <v>25367.787171228716</v>
      </c>
      <c r="K4" s="19">
        <f ca="1">J4-J3</f>
        <v>25367.787171228716</v>
      </c>
      <c r="L4" s="59">
        <f ca="1">+L3+K4</f>
        <v>25367.787171228716</v>
      </c>
    </row>
    <row r="5" spans="3:12">
      <c r="G5" s="58">
        <f>Simulation!E5</f>
        <v>2</v>
      </c>
      <c r="H5" s="19">
        <f ca="1">Simulation!H5</f>
        <v>103.13303009374984</v>
      </c>
      <c r="I5" s="19">
        <f>Inputs!$D$13</f>
        <v>100</v>
      </c>
      <c r="J5" s="19">
        <f ca="1">(Simulation!H5-Inputs!$D$13)/Inputs!$D$13*Inputs!$D$12</f>
        <v>31330.300937498378</v>
      </c>
      <c r="K5" s="19">
        <f t="shared" ref="K5:K68" ca="1" si="0">J5-J4</f>
        <v>5962.5137662696616</v>
      </c>
      <c r="L5" s="59">
        <f t="shared" ref="L5:L68" ca="1" si="1">+L4+K5</f>
        <v>31330.300937498378</v>
      </c>
    </row>
    <row r="6" spans="3:12">
      <c r="G6" s="58">
        <f>Simulation!E6</f>
        <v>3</v>
      </c>
      <c r="H6" s="19">
        <f ca="1">Simulation!H6</f>
        <v>102.60081443159967</v>
      </c>
      <c r="I6" s="19">
        <f>Inputs!$D$13</f>
        <v>100</v>
      </c>
      <c r="J6" s="19">
        <f ca="1">(Simulation!H6-Inputs!$D$13)/Inputs!$D$13*Inputs!$D$12</f>
        <v>26008.144315996728</v>
      </c>
      <c r="K6" s="19">
        <f t="shared" ca="1" si="0"/>
        <v>-5322.1566215016501</v>
      </c>
      <c r="L6" s="59">
        <f t="shared" ca="1" si="1"/>
        <v>26008.144315996728</v>
      </c>
    </row>
    <row r="7" spans="3:12">
      <c r="G7" s="58">
        <f>Simulation!E7</f>
        <v>4</v>
      </c>
      <c r="H7" s="19">
        <f ca="1">Simulation!H7</f>
        <v>101.10521213922775</v>
      </c>
      <c r="I7" s="19">
        <f>Inputs!$D$13</f>
        <v>100</v>
      </c>
      <c r="J7" s="19">
        <f ca="1">(Simulation!H7-Inputs!$D$13)/Inputs!$D$13*Inputs!$D$12</f>
        <v>11052.121392277457</v>
      </c>
      <c r="K7" s="19">
        <f t="shared" ca="1" si="0"/>
        <v>-14956.022923719271</v>
      </c>
      <c r="L7" s="59">
        <f t="shared" ca="1" si="1"/>
        <v>11052.121392277457</v>
      </c>
    </row>
    <row r="8" spans="3:12">
      <c r="G8" s="58">
        <f>Simulation!E8</f>
        <v>5</v>
      </c>
      <c r="H8" s="19">
        <f ca="1">Simulation!H8</f>
        <v>101.72441758113854</v>
      </c>
      <c r="I8" s="19">
        <f>Inputs!$D$13</f>
        <v>100</v>
      </c>
      <c r="J8" s="19">
        <f ca="1">(Simulation!H8-Inputs!$D$13)/Inputs!$D$13*Inputs!$D$12</f>
        <v>17244.17581138539</v>
      </c>
      <c r="K8" s="19">
        <f t="shared" ca="1" si="0"/>
        <v>6192.0544191079334</v>
      </c>
      <c r="L8" s="59">
        <f t="shared" ca="1" si="1"/>
        <v>17244.17581138539</v>
      </c>
    </row>
    <row r="9" spans="3:12">
      <c r="G9" s="58">
        <f>Simulation!E9</f>
        <v>6</v>
      </c>
      <c r="H9" s="19">
        <f ca="1">Simulation!H9</f>
        <v>100.7736673120464</v>
      </c>
      <c r="I9" s="19">
        <f>Inputs!$D$13</f>
        <v>100</v>
      </c>
      <c r="J9" s="19">
        <f ca="1">(Simulation!H9-Inputs!$D$13)/Inputs!$D$13*Inputs!$D$12</f>
        <v>7736.6731204639909</v>
      </c>
      <c r="K9" s="19">
        <f t="shared" ca="1" si="0"/>
        <v>-9507.5026909213993</v>
      </c>
      <c r="L9" s="59">
        <f t="shared" ca="1" si="1"/>
        <v>7736.6731204639909</v>
      </c>
    </row>
    <row r="10" spans="3:12">
      <c r="G10" s="58">
        <f>Simulation!E10</f>
        <v>7</v>
      </c>
      <c r="H10" s="19">
        <f ca="1">Simulation!H10</f>
        <v>100.75558551069985</v>
      </c>
      <c r="I10" s="19">
        <f>Inputs!$D$13</f>
        <v>100</v>
      </c>
      <c r="J10" s="19">
        <f ca="1">(Simulation!H10-Inputs!$D$13)/Inputs!$D$13*Inputs!$D$12</f>
        <v>7555.8551069984505</v>
      </c>
      <c r="K10" s="19">
        <f t="shared" ca="1" si="0"/>
        <v>-180.81801346554039</v>
      </c>
      <c r="L10" s="59">
        <f t="shared" ca="1" si="1"/>
        <v>7555.8551069984505</v>
      </c>
    </row>
    <row r="11" spans="3:12">
      <c r="G11" s="58">
        <f>Simulation!E11</f>
        <v>8</v>
      </c>
      <c r="H11" s="19">
        <f ca="1">Simulation!H11</f>
        <v>101.47838340560379</v>
      </c>
      <c r="I11" s="19">
        <f>Inputs!$D$13</f>
        <v>100</v>
      </c>
      <c r="J11" s="19">
        <f ca="1">(Simulation!H11-Inputs!$D$13)/Inputs!$D$13*Inputs!$D$12</f>
        <v>14783.834056037933</v>
      </c>
      <c r="K11" s="19">
        <f t="shared" ca="1" si="0"/>
        <v>7227.9789490394824</v>
      </c>
      <c r="L11" s="59">
        <f t="shared" ca="1" si="1"/>
        <v>14783.834056037933</v>
      </c>
    </row>
    <row r="12" spans="3:12">
      <c r="G12" s="58">
        <f>Simulation!E12</f>
        <v>9</v>
      </c>
      <c r="H12" s="19">
        <f ca="1">Simulation!H12</f>
        <v>100.25564054117201</v>
      </c>
      <c r="I12" s="19">
        <f>Inputs!$D$13</f>
        <v>100</v>
      </c>
      <c r="J12" s="19">
        <f ca="1">(Simulation!H12-Inputs!$D$13)/Inputs!$D$13*Inputs!$D$12</f>
        <v>2556.4054117201354</v>
      </c>
      <c r="K12" s="19">
        <f t="shared" ca="1" si="0"/>
        <v>-12227.428644317797</v>
      </c>
      <c r="L12" s="59">
        <f t="shared" ca="1" si="1"/>
        <v>2556.4054117201358</v>
      </c>
    </row>
    <row r="13" spans="3:12">
      <c r="G13" s="58">
        <f>Simulation!E13</f>
        <v>10</v>
      </c>
      <c r="H13" s="19">
        <f ca="1">Simulation!H13</f>
        <v>101.34524302656584</v>
      </c>
      <c r="I13" s="19">
        <f>Inputs!$D$13</f>
        <v>100</v>
      </c>
      <c r="J13" s="19">
        <f ca="1">(Simulation!H13-Inputs!$D$13)/Inputs!$D$13*Inputs!$D$12</f>
        <v>13452.430265658393</v>
      </c>
      <c r="K13" s="19">
        <f t="shared" ca="1" si="0"/>
        <v>10896.024853938257</v>
      </c>
      <c r="L13" s="59">
        <f t="shared" ca="1" si="1"/>
        <v>13452.430265658393</v>
      </c>
    </row>
    <row r="14" spans="3:12">
      <c r="G14" s="58">
        <f>Simulation!E14</f>
        <v>11</v>
      </c>
      <c r="H14" s="19">
        <f ca="1">Simulation!H14</f>
        <v>102.66866411970776</v>
      </c>
      <c r="I14" s="19">
        <f>Inputs!$D$13</f>
        <v>100</v>
      </c>
      <c r="J14" s="19">
        <f ca="1">(Simulation!H14-Inputs!$D$13)/Inputs!$D$13*Inputs!$D$12</f>
        <v>26686.641197077563</v>
      </c>
      <c r="K14" s="19">
        <f t="shared" ca="1" si="0"/>
        <v>13234.210931419169</v>
      </c>
      <c r="L14" s="59">
        <f t="shared" ca="1" si="1"/>
        <v>26686.641197077563</v>
      </c>
    </row>
    <row r="15" spans="3:12">
      <c r="G15" s="58">
        <f>Simulation!E15</f>
        <v>12</v>
      </c>
      <c r="H15" s="19">
        <f ca="1">Simulation!H15</f>
        <v>100.25207875373243</v>
      </c>
      <c r="I15" s="19">
        <f>Inputs!$D$13</f>
        <v>100</v>
      </c>
      <c r="J15" s="19">
        <f ca="1">(Simulation!H15-Inputs!$D$13)/Inputs!$D$13*Inputs!$D$12</f>
        <v>2520.7875373243382</v>
      </c>
      <c r="K15" s="19">
        <f t="shared" ca="1" si="0"/>
        <v>-24165.853659753226</v>
      </c>
      <c r="L15" s="59">
        <f t="shared" ca="1" si="1"/>
        <v>2520.7875373243369</v>
      </c>
    </row>
    <row r="16" spans="3:12">
      <c r="G16" s="58">
        <f>Simulation!E16</f>
        <v>13</v>
      </c>
      <c r="H16" s="19">
        <f ca="1">Simulation!H16</f>
        <v>102.79157464134788</v>
      </c>
      <c r="I16" s="19">
        <f>Inputs!$D$13</f>
        <v>100</v>
      </c>
      <c r="J16" s="19">
        <f ca="1">(Simulation!H16-Inputs!$D$13)/Inputs!$D$13*Inputs!$D$12</f>
        <v>27915.746413478784</v>
      </c>
      <c r="K16" s="19">
        <f t="shared" ca="1" si="0"/>
        <v>25394.958876154447</v>
      </c>
      <c r="L16" s="59">
        <f t="shared" ca="1" si="1"/>
        <v>27915.746413478784</v>
      </c>
    </row>
    <row r="17" spans="7:12">
      <c r="G17" s="58">
        <f>Simulation!E17</f>
        <v>14</v>
      </c>
      <c r="H17" s="19">
        <f ca="1">Simulation!H17</f>
        <v>102.75496553062537</v>
      </c>
      <c r="I17" s="19">
        <f>Inputs!$D$13</f>
        <v>100</v>
      </c>
      <c r="J17" s="19">
        <f ca="1">(Simulation!H17-Inputs!$D$13)/Inputs!$D$13*Inputs!$D$12</f>
        <v>27549.655306253699</v>
      </c>
      <c r="K17" s="19">
        <f t="shared" ca="1" si="0"/>
        <v>-366.09110722508558</v>
      </c>
      <c r="L17" s="59">
        <f t="shared" ca="1" si="1"/>
        <v>27549.655306253699</v>
      </c>
    </row>
    <row r="18" spans="7:12">
      <c r="G18" s="58">
        <f>Simulation!E18</f>
        <v>15</v>
      </c>
      <c r="H18" s="19">
        <f ca="1">Simulation!H18</f>
        <v>103.17224048978608</v>
      </c>
      <c r="I18" s="19">
        <f>Inputs!$D$13</f>
        <v>100</v>
      </c>
      <c r="J18" s="19">
        <f ca="1">(Simulation!H18-Inputs!$D$13)/Inputs!$D$13*Inputs!$D$12</f>
        <v>31722.404897860768</v>
      </c>
      <c r="K18" s="19">
        <f t="shared" ca="1" si="0"/>
        <v>4172.7495916070693</v>
      </c>
      <c r="L18" s="59">
        <f t="shared" ca="1" si="1"/>
        <v>31722.404897860768</v>
      </c>
    </row>
    <row r="19" spans="7:12">
      <c r="G19" s="58">
        <f>Simulation!E19</f>
        <v>16</v>
      </c>
      <c r="H19" s="19">
        <f ca="1">Simulation!H19</f>
        <v>103.729583041014</v>
      </c>
      <c r="I19" s="19">
        <f>Inputs!$D$13</f>
        <v>100</v>
      </c>
      <c r="J19" s="19">
        <f ca="1">(Simulation!H19-Inputs!$D$13)/Inputs!$D$13*Inputs!$D$12</f>
        <v>37295.830410139955</v>
      </c>
      <c r="K19" s="19">
        <f t="shared" ca="1" si="0"/>
        <v>5573.4255122791874</v>
      </c>
      <c r="L19" s="59">
        <f t="shared" ca="1" si="1"/>
        <v>37295.830410139955</v>
      </c>
    </row>
    <row r="20" spans="7:12">
      <c r="G20" s="58">
        <f>Simulation!E20</f>
        <v>17</v>
      </c>
      <c r="H20" s="19">
        <f ca="1">Simulation!H20</f>
        <v>101.81364405434114</v>
      </c>
      <c r="I20" s="19">
        <f>Inputs!$D$13</f>
        <v>100</v>
      </c>
      <c r="J20" s="19">
        <f ca="1">(Simulation!H20-Inputs!$D$13)/Inputs!$D$13*Inputs!$D$12</f>
        <v>18136.440543411394</v>
      </c>
      <c r="K20" s="19">
        <f t="shared" ca="1" si="0"/>
        <v>-19159.389866728561</v>
      </c>
      <c r="L20" s="59">
        <f t="shared" ca="1" si="1"/>
        <v>18136.440543411394</v>
      </c>
    </row>
    <row r="21" spans="7:12">
      <c r="G21" s="58">
        <f>Simulation!E21</f>
        <v>18</v>
      </c>
      <c r="H21" s="19">
        <f ca="1">Simulation!H21</f>
        <v>105.21658604044309</v>
      </c>
      <c r="I21" s="19">
        <f>Inputs!$D$13</f>
        <v>100</v>
      </c>
      <c r="J21" s="19">
        <f ca="1">(Simulation!H21-Inputs!$D$13)/Inputs!$D$13*Inputs!$D$12</f>
        <v>52165.860404430903</v>
      </c>
      <c r="K21" s="19">
        <f t="shared" ca="1" si="0"/>
        <v>34029.419861019509</v>
      </c>
      <c r="L21" s="59">
        <f t="shared" ca="1" si="1"/>
        <v>52165.860404430903</v>
      </c>
    </row>
    <row r="22" spans="7:12">
      <c r="G22" s="58">
        <f>Simulation!E22</f>
        <v>19</v>
      </c>
      <c r="H22" s="19">
        <f ca="1">Simulation!H22</f>
        <v>104.48256816866106</v>
      </c>
      <c r="I22" s="19">
        <f>Inputs!$D$13</f>
        <v>100</v>
      </c>
      <c r="J22" s="19">
        <f ca="1">(Simulation!H22-Inputs!$D$13)/Inputs!$D$13*Inputs!$D$12</f>
        <v>44825.681686610609</v>
      </c>
      <c r="K22" s="19">
        <f t="shared" ca="1" si="0"/>
        <v>-7340.178717820294</v>
      </c>
      <c r="L22" s="59">
        <f t="shared" ca="1" si="1"/>
        <v>44825.681686610609</v>
      </c>
    </row>
    <row r="23" spans="7:12">
      <c r="G23" s="58">
        <f>Simulation!E23</f>
        <v>20</v>
      </c>
      <c r="H23" s="19">
        <f ca="1">Simulation!H23</f>
        <v>104.31312421777349</v>
      </c>
      <c r="I23" s="19">
        <f>Inputs!$D$13</f>
        <v>100</v>
      </c>
      <c r="J23" s="19">
        <f ca="1">(Simulation!H23-Inputs!$D$13)/Inputs!$D$13*Inputs!$D$12</f>
        <v>43131.242177734915</v>
      </c>
      <c r="K23" s="19">
        <f t="shared" ca="1" si="0"/>
        <v>-1694.4395088756937</v>
      </c>
      <c r="L23" s="59">
        <f t="shared" ca="1" si="1"/>
        <v>43131.242177734915</v>
      </c>
    </row>
    <row r="24" spans="7:12">
      <c r="G24" s="58">
        <f>Simulation!E24</f>
        <v>21</v>
      </c>
      <c r="H24" s="19">
        <f ca="1">Simulation!H24</f>
        <v>102.86291106891179</v>
      </c>
      <c r="I24" s="19">
        <f>Inputs!$D$13</f>
        <v>100</v>
      </c>
      <c r="J24" s="19">
        <f ca="1">(Simulation!H24-Inputs!$D$13)/Inputs!$D$13*Inputs!$D$12</f>
        <v>28629.110689117853</v>
      </c>
      <c r="K24" s="19">
        <f t="shared" ca="1" si="0"/>
        <v>-14502.131488617062</v>
      </c>
      <c r="L24" s="59">
        <f t="shared" ca="1" si="1"/>
        <v>28629.110689117853</v>
      </c>
    </row>
    <row r="25" spans="7:12">
      <c r="G25" s="58">
        <f>Simulation!E25</f>
        <v>22</v>
      </c>
      <c r="H25" s="19">
        <f ca="1">Simulation!H25</f>
        <v>103.51849077361059</v>
      </c>
      <c r="I25" s="19">
        <f>Inputs!$D$13</f>
        <v>100</v>
      </c>
      <c r="J25" s="19">
        <f ca="1">(Simulation!H25-Inputs!$D$13)/Inputs!$D$13*Inputs!$D$12</f>
        <v>35184.907736105939</v>
      </c>
      <c r="K25" s="19">
        <f t="shared" ca="1" si="0"/>
        <v>6555.7970469880856</v>
      </c>
      <c r="L25" s="59">
        <f t="shared" ca="1" si="1"/>
        <v>35184.907736105939</v>
      </c>
    </row>
    <row r="26" spans="7:12">
      <c r="G26" s="58">
        <f>Simulation!E26</f>
        <v>23</v>
      </c>
      <c r="H26" s="19">
        <f ca="1">Simulation!H26</f>
        <v>104.9637605102922</v>
      </c>
      <c r="I26" s="19">
        <f>Inputs!$D$13</f>
        <v>100</v>
      </c>
      <c r="J26" s="19">
        <f ca="1">(Simulation!H26-Inputs!$D$13)/Inputs!$D$13*Inputs!$D$12</f>
        <v>49637.60510292204</v>
      </c>
      <c r="K26" s="19">
        <f t="shared" ca="1" si="0"/>
        <v>14452.697366816101</v>
      </c>
      <c r="L26" s="59">
        <f t="shared" ca="1" si="1"/>
        <v>49637.60510292204</v>
      </c>
    </row>
    <row r="27" spans="7:12">
      <c r="G27" s="58">
        <f>Simulation!E27</f>
        <v>24</v>
      </c>
      <c r="H27" s="19">
        <f ca="1">Simulation!H27</f>
        <v>103.82437021535247</v>
      </c>
      <c r="I27" s="19">
        <f>Inputs!$D$13</f>
        <v>100</v>
      </c>
      <c r="J27" s="19">
        <f ca="1">(Simulation!H27-Inputs!$D$13)/Inputs!$D$13*Inputs!$D$12</f>
        <v>38243.70215352474</v>
      </c>
      <c r="K27" s="19">
        <f t="shared" ca="1" si="0"/>
        <v>-11393.902949397299</v>
      </c>
      <c r="L27" s="59">
        <f t="shared" ca="1" si="1"/>
        <v>38243.70215352474</v>
      </c>
    </row>
    <row r="28" spans="7:12">
      <c r="G28" s="58">
        <f>Simulation!E28</f>
        <v>25</v>
      </c>
      <c r="H28" s="19">
        <f ca="1">Simulation!H28</f>
        <v>106.53800055851717</v>
      </c>
      <c r="I28" s="19">
        <f>Inputs!$D$13</f>
        <v>100</v>
      </c>
      <c r="J28" s="19">
        <f ca="1">(Simulation!H28-Inputs!$D$13)/Inputs!$D$13*Inputs!$D$12</f>
        <v>65380.005585171697</v>
      </c>
      <c r="K28" s="19">
        <f t="shared" ca="1" si="0"/>
        <v>27136.303431646957</v>
      </c>
      <c r="L28" s="59">
        <f t="shared" ca="1" si="1"/>
        <v>65380.005585171697</v>
      </c>
    </row>
    <row r="29" spans="7:12">
      <c r="G29" s="58">
        <f>Simulation!E29</f>
        <v>26</v>
      </c>
      <c r="H29" s="19">
        <f ca="1">Simulation!H29</f>
        <v>106.88964664615987</v>
      </c>
      <c r="I29" s="19">
        <f>Inputs!$D$13</f>
        <v>100</v>
      </c>
      <c r="J29" s="19">
        <f ca="1">(Simulation!H29-Inputs!$D$13)/Inputs!$D$13*Inputs!$D$12</f>
        <v>68896.466461598742</v>
      </c>
      <c r="K29" s="19">
        <f t="shared" ca="1" si="0"/>
        <v>3516.4608764270452</v>
      </c>
      <c r="L29" s="59">
        <f t="shared" ca="1" si="1"/>
        <v>68896.466461598742</v>
      </c>
    </row>
    <row r="30" spans="7:12">
      <c r="G30" s="58">
        <f>Simulation!E30</f>
        <v>27</v>
      </c>
      <c r="H30" s="19">
        <f ca="1">Simulation!H30</f>
        <v>108.3506949397384</v>
      </c>
      <c r="I30" s="19">
        <f>Inputs!$D$13</f>
        <v>100</v>
      </c>
      <c r="J30" s="19">
        <f ca="1">(Simulation!H30-Inputs!$D$13)/Inputs!$D$13*Inputs!$D$12</f>
        <v>83506.949397384044</v>
      </c>
      <c r="K30" s="19">
        <f t="shared" ca="1" si="0"/>
        <v>14610.482935785301</v>
      </c>
      <c r="L30" s="59">
        <f t="shared" ca="1" si="1"/>
        <v>83506.949397384044</v>
      </c>
    </row>
    <row r="31" spans="7:12">
      <c r="G31" s="58">
        <f>Simulation!E31</f>
        <v>28</v>
      </c>
      <c r="H31" s="19">
        <f ca="1">Simulation!H31</f>
        <v>108.3844551281933</v>
      </c>
      <c r="I31" s="19">
        <f>Inputs!$D$13</f>
        <v>100</v>
      </c>
      <c r="J31" s="19">
        <f ca="1">(Simulation!H31-Inputs!$D$13)/Inputs!$D$13*Inputs!$D$12</f>
        <v>83844.55128193296</v>
      </c>
      <c r="K31" s="19">
        <f t="shared" ca="1" si="0"/>
        <v>337.60188454891613</v>
      </c>
      <c r="L31" s="59">
        <f t="shared" ca="1" si="1"/>
        <v>83844.55128193296</v>
      </c>
    </row>
    <row r="32" spans="7:12">
      <c r="G32" s="58">
        <f>Simulation!E32</f>
        <v>29</v>
      </c>
      <c r="H32" s="19">
        <f ca="1">Simulation!H32</f>
        <v>108.7094817116115</v>
      </c>
      <c r="I32" s="19">
        <f>Inputs!$D$13</f>
        <v>100</v>
      </c>
      <c r="J32" s="19">
        <f ca="1">(Simulation!H32-Inputs!$D$13)/Inputs!$D$13*Inputs!$D$12</f>
        <v>87094.817116115024</v>
      </c>
      <c r="K32" s="19">
        <f t="shared" ca="1" si="0"/>
        <v>3250.2658341820643</v>
      </c>
      <c r="L32" s="59">
        <f t="shared" ca="1" si="1"/>
        <v>87094.817116115024</v>
      </c>
    </row>
    <row r="33" spans="7:12">
      <c r="G33" s="58">
        <f>Simulation!E33</f>
        <v>30</v>
      </c>
      <c r="H33" s="19">
        <f ca="1">Simulation!H33</f>
        <v>107.27637558780165</v>
      </c>
      <c r="I33" s="19">
        <f>Inputs!$D$13</f>
        <v>100</v>
      </c>
      <c r="J33" s="19">
        <f ca="1">(Simulation!H33-Inputs!$D$13)/Inputs!$D$13*Inputs!$D$12</f>
        <v>72763.755878016527</v>
      </c>
      <c r="K33" s="19">
        <f t="shared" ca="1" si="0"/>
        <v>-14331.061238098497</v>
      </c>
      <c r="L33" s="59">
        <f t="shared" ca="1" si="1"/>
        <v>72763.755878016527</v>
      </c>
    </row>
    <row r="34" spans="7:12">
      <c r="G34" s="58">
        <f>Simulation!E34</f>
        <v>31</v>
      </c>
      <c r="H34" s="19">
        <f ca="1">Simulation!H34</f>
        <v>108.93198090405187</v>
      </c>
      <c r="I34" s="19">
        <f>Inputs!$D$13</f>
        <v>100</v>
      </c>
      <c r="J34" s="19">
        <f ca="1">(Simulation!H34-Inputs!$D$13)/Inputs!$D$13*Inputs!$D$12</f>
        <v>89319.809040518681</v>
      </c>
      <c r="K34" s="19">
        <f t="shared" ca="1" si="0"/>
        <v>16556.053162502154</v>
      </c>
      <c r="L34" s="59">
        <f t="shared" ca="1" si="1"/>
        <v>89319.809040518681</v>
      </c>
    </row>
    <row r="35" spans="7:12">
      <c r="G35" s="58">
        <f>Simulation!E35</f>
        <v>32</v>
      </c>
      <c r="H35" s="19">
        <f ca="1">Simulation!H35</f>
        <v>110.88737399428754</v>
      </c>
      <c r="I35" s="19">
        <f>Inputs!$D$13</f>
        <v>100</v>
      </c>
      <c r="J35" s="19">
        <f ca="1">(Simulation!H35-Inputs!$D$13)/Inputs!$D$13*Inputs!$D$12</f>
        <v>108873.73994287543</v>
      </c>
      <c r="K35" s="19">
        <f t="shared" ca="1" si="0"/>
        <v>19553.930902356748</v>
      </c>
      <c r="L35" s="59">
        <f t="shared" ca="1" si="1"/>
        <v>108873.73994287543</v>
      </c>
    </row>
    <row r="36" spans="7:12">
      <c r="G36" s="58">
        <f>Simulation!E36</f>
        <v>33</v>
      </c>
      <c r="H36" s="19">
        <f ca="1">Simulation!H36</f>
        <v>109.15288329473786</v>
      </c>
      <c r="I36" s="19">
        <f>Inputs!$D$13</f>
        <v>100</v>
      </c>
      <c r="J36" s="19">
        <f ca="1">(Simulation!H36-Inputs!$D$13)/Inputs!$D$13*Inputs!$D$12</f>
        <v>91528.832947378629</v>
      </c>
      <c r="K36" s="19">
        <f t="shared" ca="1" si="0"/>
        <v>-17344.9069954968</v>
      </c>
      <c r="L36" s="59">
        <f t="shared" ca="1" si="1"/>
        <v>91528.832947378629</v>
      </c>
    </row>
    <row r="37" spans="7:12">
      <c r="G37" s="58">
        <f>Simulation!E37</f>
        <v>34</v>
      </c>
      <c r="H37" s="19">
        <f ca="1">Simulation!H37</f>
        <v>111.62432987549147</v>
      </c>
      <c r="I37" s="19">
        <f>Inputs!$D$13</f>
        <v>100</v>
      </c>
      <c r="J37" s="19">
        <f ca="1">(Simulation!H37-Inputs!$D$13)/Inputs!$D$13*Inputs!$D$12</f>
        <v>116243.29875491469</v>
      </c>
      <c r="K37" s="19">
        <f t="shared" ca="1" si="0"/>
        <v>24714.465807536064</v>
      </c>
      <c r="L37" s="59">
        <f t="shared" ca="1" si="1"/>
        <v>116243.29875491469</v>
      </c>
    </row>
    <row r="38" spans="7:12">
      <c r="G38" s="58">
        <f>Simulation!E38</f>
        <v>35</v>
      </c>
      <c r="H38" s="19">
        <f ca="1">Simulation!H38</f>
        <v>113.11605876015372</v>
      </c>
      <c r="I38" s="19">
        <f>Inputs!$D$13</f>
        <v>100</v>
      </c>
      <c r="J38" s="19">
        <f ca="1">(Simulation!H38-Inputs!$D$13)/Inputs!$D$13*Inputs!$D$12</f>
        <v>131160.58760153721</v>
      </c>
      <c r="K38" s="19">
        <f t="shared" ca="1" si="0"/>
        <v>14917.288846622512</v>
      </c>
      <c r="L38" s="59">
        <f t="shared" ca="1" si="1"/>
        <v>131160.58760153721</v>
      </c>
    </row>
    <row r="39" spans="7:12">
      <c r="G39" s="58">
        <f>Simulation!E39</f>
        <v>36</v>
      </c>
      <c r="H39" s="19">
        <f ca="1">Simulation!H39</f>
        <v>112.85958727927569</v>
      </c>
      <c r="I39" s="19">
        <f>Inputs!$D$13</f>
        <v>100</v>
      </c>
      <c r="J39" s="19">
        <f ca="1">(Simulation!H39-Inputs!$D$13)/Inputs!$D$13*Inputs!$D$12</f>
        <v>128595.87279275685</v>
      </c>
      <c r="K39" s="19">
        <f t="shared" ca="1" si="0"/>
        <v>-2564.7148087803507</v>
      </c>
      <c r="L39" s="59">
        <f t="shared" ca="1" si="1"/>
        <v>128595.87279275685</v>
      </c>
    </row>
    <row r="40" spans="7:12">
      <c r="G40" s="58">
        <f>Simulation!E40</f>
        <v>37</v>
      </c>
      <c r="H40" s="19">
        <f ca="1">Simulation!H40</f>
        <v>114.81175204729453</v>
      </c>
      <c r="I40" s="19">
        <f>Inputs!$D$13</f>
        <v>100</v>
      </c>
      <c r="J40" s="19">
        <f ca="1">(Simulation!H40-Inputs!$D$13)/Inputs!$D$13*Inputs!$D$12</f>
        <v>148117.52047294533</v>
      </c>
      <c r="K40" s="19">
        <f t="shared" ca="1" si="0"/>
        <v>19521.647680188471</v>
      </c>
      <c r="L40" s="59">
        <f t="shared" ca="1" si="1"/>
        <v>148117.52047294533</v>
      </c>
    </row>
    <row r="41" spans="7:12">
      <c r="G41" s="58">
        <f>Simulation!E41</f>
        <v>38</v>
      </c>
      <c r="H41" s="19">
        <f ca="1">Simulation!H41</f>
        <v>114.23385090137324</v>
      </c>
      <c r="I41" s="19">
        <f>Inputs!$D$13</f>
        <v>100</v>
      </c>
      <c r="J41" s="19">
        <f ca="1">(Simulation!H41-Inputs!$D$13)/Inputs!$D$13*Inputs!$D$12</f>
        <v>142338.50901373246</v>
      </c>
      <c r="K41" s="19">
        <f t="shared" ca="1" si="0"/>
        <v>-5779.0114592128666</v>
      </c>
      <c r="L41" s="59">
        <f t="shared" ca="1" si="1"/>
        <v>142338.50901373246</v>
      </c>
    </row>
    <row r="42" spans="7:12">
      <c r="G42" s="58">
        <f>Simulation!E42</f>
        <v>39</v>
      </c>
      <c r="H42" s="19">
        <f ca="1">Simulation!H42</f>
        <v>117.54792073990296</v>
      </c>
      <c r="I42" s="19">
        <f>Inputs!$D$13</f>
        <v>100</v>
      </c>
      <c r="J42" s="19">
        <f ca="1">(Simulation!H42-Inputs!$D$13)/Inputs!$D$13*Inputs!$D$12</f>
        <v>175479.20739902963</v>
      </c>
      <c r="K42" s="19">
        <f t="shared" ca="1" si="0"/>
        <v>33140.698385297175</v>
      </c>
      <c r="L42" s="59">
        <f t="shared" ca="1" si="1"/>
        <v>175479.20739902963</v>
      </c>
    </row>
    <row r="43" spans="7:12">
      <c r="G43" s="58">
        <f>Simulation!E43</f>
        <v>40</v>
      </c>
      <c r="H43" s="19">
        <f ca="1">Simulation!H43</f>
        <v>117.50934173275283</v>
      </c>
      <c r="I43" s="19">
        <f>Inputs!$D$13</f>
        <v>100</v>
      </c>
      <c r="J43" s="19">
        <f ca="1">(Simulation!H43-Inputs!$D$13)/Inputs!$D$13*Inputs!$D$12</f>
        <v>175093.41732752832</v>
      </c>
      <c r="K43" s="19">
        <f t="shared" ca="1" si="0"/>
        <v>-385.79007150130928</v>
      </c>
      <c r="L43" s="59">
        <f t="shared" ca="1" si="1"/>
        <v>175093.41732752832</v>
      </c>
    </row>
    <row r="44" spans="7:12">
      <c r="G44" s="58">
        <f>Simulation!E44</f>
        <v>41</v>
      </c>
      <c r="H44" s="19">
        <f ca="1">Simulation!H44</f>
        <v>118.7458781863274</v>
      </c>
      <c r="I44" s="19">
        <f>Inputs!$D$13</f>
        <v>100</v>
      </c>
      <c r="J44" s="19">
        <f ca="1">(Simulation!H44-Inputs!$D$13)/Inputs!$D$13*Inputs!$D$12</f>
        <v>187458.78186327402</v>
      </c>
      <c r="K44" s="19">
        <f t="shared" ca="1" si="0"/>
        <v>12365.364535745699</v>
      </c>
      <c r="L44" s="59">
        <f t="shared" ca="1" si="1"/>
        <v>187458.78186327402</v>
      </c>
    </row>
    <row r="45" spans="7:12">
      <c r="G45" s="58">
        <f>Simulation!E45</f>
        <v>42</v>
      </c>
      <c r="H45" s="19">
        <f ca="1">Simulation!H45</f>
        <v>116.50642698625967</v>
      </c>
      <c r="I45" s="19">
        <f>Inputs!$D$13</f>
        <v>100</v>
      </c>
      <c r="J45" s="19">
        <f ca="1">(Simulation!H45-Inputs!$D$13)/Inputs!$D$13*Inputs!$D$12</f>
        <v>165064.2698625967</v>
      </c>
      <c r="K45" s="19">
        <f t="shared" ca="1" si="0"/>
        <v>-22394.512000677321</v>
      </c>
      <c r="L45" s="59">
        <f t="shared" ca="1" si="1"/>
        <v>165064.2698625967</v>
      </c>
    </row>
    <row r="46" spans="7:12">
      <c r="G46" s="58">
        <f>Simulation!E46</f>
        <v>43</v>
      </c>
      <c r="H46" s="19">
        <f ca="1">Simulation!H46</f>
        <v>114.86816436024574</v>
      </c>
      <c r="I46" s="19">
        <f>Inputs!$D$13</f>
        <v>100</v>
      </c>
      <c r="J46" s="19">
        <f ca="1">(Simulation!H46-Inputs!$D$13)/Inputs!$D$13*Inputs!$D$12</f>
        <v>148681.64360245742</v>
      </c>
      <c r="K46" s="19">
        <f t="shared" ca="1" si="0"/>
        <v>-16382.626260139281</v>
      </c>
      <c r="L46" s="59">
        <f t="shared" ca="1" si="1"/>
        <v>148681.64360245742</v>
      </c>
    </row>
    <row r="47" spans="7:12">
      <c r="G47" s="58">
        <f>Simulation!E47</f>
        <v>44</v>
      </c>
      <c r="H47" s="19">
        <f ca="1">Simulation!H47</f>
        <v>115.13050136402326</v>
      </c>
      <c r="I47" s="19">
        <f>Inputs!$D$13</f>
        <v>100</v>
      </c>
      <c r="J47" s="19">
        <f ca="1">(Simulation!H47-Inputs!$D$13)/Inputs!$D$13*Inputs!$D$12</f>
        <v>151305.01364023262</v>
      </c>
      <c r="K47" s="19">
        <f t="shared" ca="1" si="0"/>
        <v>2623.3700377751957</v>
      </c>
      <c r="L47" s="59">
        <f t="shared" ca="1" si="1"/>
        <v>151305.01364023262</v>
      </c>
    </row>
    <row r="48" spans="7:12">
      <c r="G48" s="58">
        <f>Simulation!E48</f>
        <v>45</v>
      </c>
      <c r="H48" s="19">
        <f ca="1">Simulation!H48</f>
        <v>114.22214811554493</v>
      </c>
      <c r="I48" s="19">
        <f>Inputs!$D$13</f>
        <v>100</v>
      </c>
      <c r="J48" s="19">
        <f ca="1">(Simulation!H48-Inputs!$D$13)/Inputs!$D$13*Inputs!$D$12</f>
        <v>142221.48115544923</v>
      </c>
      <c r="K48" s="19">
        <f t="shared" ca="1" si="0"/>
        <v>-9083.5324847833836</v>
      </c>
      <c r="L48" s="59">
        <f t="shared" ca="1" si="1"/>
        <v>142221.48115544923</v>
      </c>
    </row>
    <row r="49" spans="7:12">
      <c r="G49" s="58">
        <f>Simulation!E49</f>
        <v>46</v>
      </c>
      <c r="H49" s="19">
        <f ca="1">Simulation!H49</f>
        <v>113.62723388420393</v>
      </c>
      <c r="I49" s="19">
        <f>Inputs!$D$13</f>
        <v>100</v>
      </c>
      <c r="J49" s="19">
        <f ca="1">(Simulation!H49-Inputs!$D$13)/Inputs!$D$13*Inputs!$D$12</f>
        <v>136272.33884203932</v>
      </c>
      <c r="K49" s="19">
        <f t="shared" ca="1" si="0"/>
        <v>-5949.1423134099168</v>
      </c>
      <c r="L49" s="59">
        <f t="shared" ca="1" si="1"/>
        <v>136272.33884203932</v>
      </c>
    </row>
    <row r="50" spans="7:12">
      <c r="G50" s="58">
        <f>Simulation!E50</f>
        <v>47</v>
      </c>
      <c r="H50" s="19">
        <f ca="1">Simulation!H50</f>
        <v>113.21852133917716</v>
      </c>
      <c r="I50" s="19">
        <f>Inputs!$D$13</f>
        <v>100</v>
      </c>
      <c r="J50" s="19">
        <f ca="1">(Simulation!H50-Inputs!$D$13)/Inputs!$D$13*Inputs!$D$12</f>
        <v>132185.21339177157</v>
      </c>
      <c r="K50" s="19">
        <f t="shared" ca="1" si="0"/>
        <v>-4087.1254502677475</v>
      </c>
      <c r="L50" s="59">
        <f t="shared" ca="1" si="1"/>
        <v>132185.21339177157</v>
      </c>
    </row>
    <row r="51" spans="7:12">
      <c r="G51" s="58">
        <f>Simulation!E51</f>
        <v>48</v>
      </c>
      <c r="H51" s="19">
        <f ca="1">Simulation!H51</f>
        <v>113.66901355544664</v>
      </c>
      <c r="I51" s="19">
        <f>Inputs!$D$13</f>
        <v>100</v>
      </c>
      <c r="J51" s="19">
        <f ca="1">(Simulation!H51-Inputs!$D$13)/Inputs!$D$13*Inputs!$D$12</f>
        <v>136690.1355544664</v>
      </c>
      <c r="K51" s="19">
        <f t="shared" ca="1" si="0"/>
        <v>4504.9221626948274</v>
      </c>
      <c r="L51" s="59">
        <f t="shared" ca="1" si="1"/>
        <v>136690.1355544664</v>
      </c>
    </row>
    <row r="52" spans="7:12">
      <c r="G52" s="58">
        <f>Simulation!E52</f>
        <v>49</v>
      </c>
      <c r="H52" s="19">
        <f ca="1">Simulation!H52</f>
        <v>116.26797941125935</v>
      </c>
      <c r="I52" s="19">
        <f>Inputs!$D$13</f>
        <v>100</v>
      </c>
      <c r="J52" s="19">
        <f ca="1">(Simulation!H52-Inputs!$D$13)/Inputs!$D$13*Inputs!$D$12</f>
        <v>162679.79411259349</v>
      </c>
      <c r="K52" s="19">
        <f t="shared" ca="1" si="0"/>
        <v>25989.658558127092</v>
      </c>
      <c r="L52" s="59">
        <f t="shared" ca="1" si="1"/>
        <v>162679.79411259349</v>
      </c>
    </row>
    <row r="53" spans="7:12">
      <c r="G53" s="58">
        <f>Simulation!E53</f>
        <v>50</v>
      </c>
      <c r="H53" s="19">
        <f ca="1">Simulation!H53</f>
        <v>117.49300807433568</v>
      </c>
      <c r="I53" s="19">
        <f>Inputs!$D$13</f>
        <v>100</v>
      </c>
      <c r="J53" s="19">
        <f ca="1">(Simulation!H53-Inputs!$D$13)/Inputs!$D$13*Inputs!$D$12</f>
        <v>174930.08074335678</v>
      </c>
      <c r="K53" s="19">
        <f t="shared" ca="1" si="0"/>
        <v>12250.286630763294</v>
      </c>
      <c r="L53" s="59">
        <f t="shared" ca="1" si="1"/>
        <v>174930.08074335678</v>
      </c>
    </row>
    <row r="54" spans="7:12">
      <c r="G54" s="58">
        <f>Simulation!E54</f>
        <v>51</v>
      </c>
      <c r="H54" s="19">
        <f ca="1">Simulation!H54</f>
        <v>117.40554173332507</v>
      </c>
      <c r="I54" s="19">
        <f>Inputs!$D$13</f>
        <v>100</v>
      </c>
      <c r="J54" s="19">
        <f ca="1">(Simulation!H54-Inputs!$D$13)/Inputs!$D$13*Inputs!$D$12</f>
        <v>174055.41733325066</v>
      </c>
      <c r="K54" s="19">
        <f t="shared" ca="1" si="0"/>
        <v>-874.66341010612086</v>
      </c>
      <c r="L54" s="59">
        <f t="shared" ca="1" si="1"/>
        <v>174055.41733325066</v>
      </c>
    </row>
    <row r="55" spans="7:12">
      <c r="G55" s="58">
        <f>Simulation!E55</f>
        <v>52</v>
      </c>
      <c r="H55" s="19">
        <f ca="1">Simulation!H55</f>
        <v>114.14995085761549</v>
      </c>
      <c r="I55" s="19">
        <f>Inputs!$D$13</f>
        <v>100</v>
      </c>
      <c r="J55" s="19">
        <f ca="1">(Simulation!H55-Inputs!$D$13)/Inputs!$D$13*Inputs!$D$12</f>
        <v>141499.50857615491</v>
      </c>
      <c r="K55" s="19">
        <f t="shared" ca="1" si="0"/>
        <v>-32555.908757095749</v>
      </c>
      <c r="L55" s="59">
        <f t="shared" ca="1" si="1"/>
        <v>141499.50857615491</v>
      </c>
    </row>
    <row r="56" spans="7:12">
      <c r="G56" s="58">
        <f>Simulation!E56</f>
        <v>53</v>
      </c>
      <c r="H56" s="19">
        <f ca="1">Simulation!H56</f>
        <v>115.4487046150506</v>
      </c>
      <c r="I56" s="19">
        <f>Inputs!$D$13</f>
        <v>100</v>
      </c>
      <c r="J56" s="19">
        <f ca="1">(Simulation!H56-Inputs!$D$13)/Inputs!$D$13*Inputs!$D$12</f>
        <v>154487.04615050601</v>
      </c>
      <c r="K56" s="19">
        <f t="shared" ca="1" si="0"/>
        <v>12987.537574351096</v>
      </c>
      <c r="L56" s="59">
        <f t="shared" ca="1" si="1"/>
        <v>154487.04615050601</v>
      </c>
    </row>
    <row r="57" spans="7:12">
      <c r="G57" s="58">
        <f>Simulation!E57</f>
        <v>54</v>
      </c>
      <c r="H57" s="19">
        <f ca="1">Simulation!H57</f>
        <v>115.99080237472208</v>
      </c>
      <c r="I57" s="19">
        <f>Inputs!$D$13</f>
        <v>100</v>
      </c>
      <c r="J57" s="19">
        <f ca="1">(Simulation!H57-Inputs!$D$13)/Inputs!$D$13*Inputs!$D$12</f>
        <v>159908.02374722081</v>
      </c>
      <c r="K57" s="19">
        <f t="shared" ca="1" si="0"/>
        <v>5420.9775967148016</v>
      </c>
      <c r="L57" s="59">
        <f t="shared" ca="1" si="1"/>
        <v>159908.02374722081</v>
      </c>
    </row>
    <row r="58" spans="7:12">
      <c r="G58" s="58">
        <f>Simulation!E58</f>
        <v>55</v>
      </c>
      <c r="H58" s="19">
        <f ca="1">Simulation!H58</f>
        <v>118.43452408720384</v>
      </c>
      <c r="I58" s="19">
        <f>Inputs!$D$13</f>
        <v>100</v>
      </c>
      <c r="J58" s="19">
        <f ca="1">(Simulation!H58-Inputs!$D$13)/Inputs!$D$13*Inputs!$D$12</f>
        <v>184345.24087203841</v>
      </c>
      <c r="K58" s="19">
        <f t="shared" ca="1" si="0"/>
        <v>24437.217124817602</v>
      </c>
      <c r="L58" s="59">
        <f t="shared" ca="1" si="1"/>
        <v>184345.24087203841</v>
      </c>
    </row>
    <row r="59" spans="7:12">
      <c r="G59" s="58">
        <f>Simulation!E59</f>
        <v>56</v>
      </c>
      <c r="H59" s="19">
        <f ca="1">Simulation!H59</f>
        <v>117.48435124923151</v>
      </c>
      <c r="I59" s="19">
        <f>Inputs!$D$13</f>
        <v>100</v>
      </c>
      <c r="J59" s="19">
        <f ca="1">(Simulation!H59-Inputs!$D$13)/Inputs!$D$13*Inputs!$D$12</f>
        <v>174843.51249231509</v>
      </c>
      <c r="K59" s="19">
        <f t="shared" ca="1" si="0"/>
        <v>-9501.7283797233249</v>
      </c>
      <c r="L59" s="59">
        <f t="shared" ca="1" si="1"/>
        <v>174843.51249231509</v>
      </c>
    </row>
    <row r="60" spans="7:12">
      <c r="G60" s="58">
        <f>Simulation!E60</f>
        <v>57</v>
      </c>
      <c r="H60" s="19">
        <f ca="1">Simulation!H60</f>
        <v>117.12931032563993</v>
      </c>
      <c r="I60" s="19">
        <f>Inputs!$D$13</f>
        <v>100</v>
      </c>
      <c r="J60" s="19">
        <f ca="1">(Simulation!H60-Inputs!$D$13)/Inputs!$D$13*Inputs!$D$12</f>
        <v>171293.10325639934</v>
      </c>
      <c r="K60" s="19">
        <f t="shared" ca="1" si="0"/>
        <v>-3550.4092359157512</v>
      </c>
      <c r="L60" s="59">
        <f t="shared" ca="1" si="1"/>
        <v>171293.10325639934</v>
      </c>
    </row>
    <row r="61" spans="7:12">
      <c r="G61" s="58">
        <f>Simulation!E61</f>
        <v>58</v>
      </c>
      <c r="H61" s="19">
        <f ca="1">Simulation!H61</f>
        <v>115.06794936289674</v>
      </c>
      <c r="I61" s="19">
        <f>Inputs!$D$13</f>
        <v>100</v>
      </c>
      <c r="J61" s="19">
        <f ca="1">(Simulation!H61-Inputs!$D$13)/Inputs!$D$13*Inputs!$D$12</f>
        <v>150679.49362896741</v>
      </c>
      <c r="K61" s="19">
        <f t="shared" ca="1" si="0"/>
        <v>-20613.609627431928</v>
      </c>
      <c r="L61" s="59">
        <f t="shared" ca="1" si="1"/>
        <v>150679.49362896741</v>
      </c>
    </row>
    <row r="62" spans="7:12">
      <c r="G62" s="58">
        <f>Simulation!E62</f>
        <v>59</v>
      </c>
      <c r="H62" s="19">
        <f ca="1">Simulation!H62</f>
        <v>114.77493018467887</v>
      </c>
      <c r="I62" s="19">
        <f>Inputs!$D$13</f>
        <v>100</v>
      </c>
      <c r="J62" s="19">
        <f ca="1">(Simulation!H62-Inputs!$D$13)/Inputs!$D$13*Inputs!$D$12</f>
        <v>147749.30184678867</v>
      </c>
      <c r="K62" s="19">
        <f t="shared" ca="1" si="0"/>
        <v>-2930.1917821787356</v>
      </c>
      <c r="L62" s="59">
        <f t="shared" ca="1" si="1"/>
        <v>147749.30184678867</v>
      </c>
    </row>
    <row r="63" spans="7:12">
      <c r="G63" s="58">
        <f>Simulation!E63</f>
        <v>60</v>
      </c>
      <c r="H63" s="19">
        <f ca="1">Simulation!H63</f>
        <v>114.25141355659819</v>
      </c>
      <c r="I63" s="19">
        <f>Inputs!$D$13</f>
        <v>100</v>
      </c>
      <c r="J63" s="19">
        <f ca="1">(Simulation!H63-Inputs!$D$13)/Inputs!$D$13*Inputs!$D$12</f>
        <v>142514.13556598194</v>
      </c>
      <c r="K63" s="19">
        <f t="shared" ca="1" si="0"/>
        <v>-5235.166280806734</v>
      </c>
      <c r="L63" s="59">
        <f t="shared" ca="1" si="1"/>
        <v>142514.13556598194</v>
      </c>
    </row>
    <row r="64" spans="7:12">
      <c r="G64" s="58">
        <f>Simulation!E64</f>
        <v>61</v>
      </c>
      <c r="H64" s="19">
        <f ca="1">Simulation!H64</f>
        <v>114.36979781013456</v>
      </c>
      <c r="I64" s="19">
        <f>Inputs!$D$13</f>
        <v>100</v>
      </c>
      <c r="J64" s="19">
        <f ca="1">(Simulation!H64-Inputs!$D$13)/Inputs!$D$13*Inputs!$D$12</f>
        <v>143697.97810134556</v>
      </c>
      <c r="K64" s="19">
        <f t="shared" ca="1" si="0"/>
        <v>1183.8425353636267</v>
      </c>
      <c r="L64" s="59">
        <f t="shared" ca="1" si="1"/>
        <v>143697.97810134556</v>
      </c>
    </row>
    <row r="65" spans="7:12">
      <c r="G65" s="58">
        <f>Simulation!E65</f>
        <v>62</v>
      </c>
      <c r="H65" s="19">
        <f ca="1">Simulation!H65</f>
        <v>115.47947472373076</v>
      </c>
      <c r="I65" s="19">
        <f>Inputs!$D$13</f>
        <v>100</v>
      </c>
      <c r="J65" s="19">
        <f ca="1">(Simulation!H65-Inputs!$D$13)/Inputs!$D$13*Inputs!$D$12</f>
        <v>154794.7472373076</v>
      </c>
      <c r="K65" s="19">
        <f t="shared" ca="1" si="0"/>
        <v>11096.769135962037</v>
      </c>
      <c r="L65" s="59">
        <f t="shared" ca="1" si="1"/>
        <v>154794.7472373076</v>
      </c>
    </row>
    <row r="66" spans="7:12">
      <c r="G66" s="58">
        <f>Simulation!E66</f>
        <v>63</v>
      </c>
      <c r="H66" s="19">
        <f ca="1">Simulation!H66</f>
        <v>113.98193083371739</v>
      </c>
      <c r="I66" s="19">
        <f>Inputs!$D$13</f>
        <v>100</v>
      </c>
      <c r="J66" s="19">
        <f ca="1">(Simulation!H66-Inputs!$D$13)/Inputs!$D$13*Inputs!$D$12</f>
        <v>139819.30833717386</v>
      </c>
      <c r="K66" s="19">
        <f t="shared" ca="1" si="0"/>
        <v>-14975.43890013374</v>
      </c>
      <c r="L66" s="59">
        <f t="shared" ca="1" si="1"/>
        <v>139819.30833717386</v>
      </c>
    </row>
    <row r="67" spans="7:12">
      <c r="G67" s="58">
        <f>Simulation!E67</f>
        <v>64</v>
      </c>
      <c r="H67" s="19">
        <f ca="1">Simulation!H67</f>
        <v>114.6537761894447</v>
      </c>
      <c r="I67" s="19">
        <f>Inputs!$D$13</f>
        <v>100</v>
      </c>
      <c r="J67" s="19">
        <f ca="1">(Simulation!H67-Inputs!$D$13)/Inputs!$D$13*Inputs!$D$12</f>
        <v>146537.76189444697</v>
      </c>
      <c r="K67" s="19">
        <f t="shared" ca="1" si="0"/>
        <v>6718.4535572731111</v>
      </c>
      <c r="L67" s="59">
        <f t="shared" ca="1" si="1"/>
        <v>146537.76189444697</v>
      </c>
    </row>
    <row r="68" spans="7:12">
      <c r="G68" s="58">
        <f>Simulation!E68</f>
        <v>65</v>
      </c>
      <c r="H68" s="19">
        <f ca="1">Simulation!H68</f>
        <v>116.30933634361952</v>
      </c>
      <c r="I68" s="19">
        <f>Inputs!$D$13</f>
        <v>100</v>
      </c>
      <c r="J68" s="19">
        <f ca="1">(Simulation!H68-Inputs!$D$13)/Inputs!$D$13*Inputs!$D$12</f>
        <v>163093.36343619521</v>
      </c>
      <c r="K68" s="19">
        <f t="shared" ca="1" si="0"/>
        <v>16555.601541748241</v>
      </c>
      <c r="L68" s="59">
        <f t="shared" ca="1" si="1"/>
        <v>163093.36343619521</v>
      </c>
    </row>
    <row r="69" spans="7:12">
      <c r="G69" s="58">
        <f>Simulation!E69</f>
        <v>66</v>
      </c>
      <c r="H69" s="19">
        <f ca="1">Simulation!H69</f>
        <v>118.13703783092191</v>
      </c>
      <c r="I69" s="19">
        <f>Inputs!$D$13</f>
        <v>100</v>
      </c>
      <c r="J69" s="19">
        <f ca="1">(Simulation!H69-Inputs!$D$13)/Inputs!$D$13*Inputs!$D$12</f>
        <v>181370.37830921912</v>
      </c>
      <c r="K69" s="19">
        <f t="shared" ref="K69:K132" ca="1" si="2">J69-J68</f>
        <v>18277.014873023902</v>
      </c>
      <c r="L69" s="59">
        <f t="shared" ref="L69:L132" ca="1" si="3">+L68+K69</f>
        <v>181370.37830921912</v>
      </c>
    </row>
    <row r="70" spans="7:12">
      <c r="G70" s="58">
        <f>Simulation!E70</f>
        <v>67</v>
      </c>
      <c r="H70" s="19">
        <f ca="1">Simulation!H70</f>
        <v>117.12874213043877</v>
      </c>
      <c r="I70" s="19">
        <f>Inputs!$D$13</f>
        <v>100</v>
      </c>
      <c r="J70" s="19">
        <f ca="1">(Simulation!H70-Inputs!$D$13)/Inputs!$D$13*Inputs!$D$12</f>
        <v>171287.42130438768</v>
      </c>
      <c r="K70" s="19">
        <f t="shared" ca="1" si="2"/>
        <v>-10082.957004831434</v>
      </c>
      <c r="L70" s="59">
        <f t="shared" ca="1" si="3"/>
        <v>171287.42130438768</v>
      </c>
    </row>
    <row r="71" spans="7:12">
      <c r="G71" s="58">
        <f>Simulation!E71</f>
        <v>68</v>
      </c>
      <c r="H71" s="19">
        <f ca="1">Simulation!H71</f>
        <v>117.624405871251</v>
      </c>
      <c r="I71" s="19">
        <f>Inputs!$D$13</f>
        <v>100</v>
      </c>
      <c r="J71" s="19">
        <f ca="1">(Simulation!H71-Inputs!$D$13)/Inputs!$D$13*Inputs!$D$12</f>
        <v>176244.05871251001</v>
      </c>
      <c r="K71" s="19">
        <f t="shared" ca="1" si="2"/>
        <v>4956.637408122333</v>
      </c>
      <c r="L71" s="59">
        <f t="shared" ca="1" si="3"/>
        <v>176244.05871251001</v>
      </c>
    </row>
    <row r="72" spans="7:12">
      <c r="G72" s="58">
        <f>Simulation!E72</f>
        <v>69</v>
      </c>
      <c r="H72" s="19">
        <f ca="1">Simulation!H72</f>
        <v>115.99587184719411</v>
      </c>
      <c r="I72" s="19">
        <f>Inputs!$D$13</f>
        <v>100</v>
      </c>
      <c r="J72" s="19">
        <f ca="1">(Simulation!H72-Inputs!$D$13)/Inputs!$D$13*Inputs!$D$12</f>
        <v>159958.7184719411</v>
      </c>
      <c r="K72" s="19">
        <f t="shared" ca="1" si="2"/>
        <v>-16285.340240568912</v>
      </c>
      <c r="L72" s="59">
        <f t="shared" ca="1" si="3"/>
        <v>159958.7184719411</v>
      </c>
    </row>
    <row r="73" spans="7:12">
      <c r="G73" s="58">
        <f>Simulation!E73</f>
        <v>70</v>
      </c>
      <c r="H73" s="19">
        <f ca="1">Simulation!H73</f>
        <v>113.73039640164767</v>
      </c>
      <c r="I73" s="19">
        <f>Inputs!$D$13</f>
        <v>100</v>
      </c>
      <c r="J73" s="19">
        <f ca="1">(Simulation!H73-Inputs!$D$13)/Inputs!$D$13*Inputs!$D$12</f>
        <v>137303.96401647668</v>
      </c>
      <c r="K73" s="19">
        <f t="shared" ca="1" si="2"/>
        <v>-22654.754455464426</v>
      </c>
      <c r="L73" s="59">
        <f t="shared" ca="1" si="3"/>
        <v>137303.96401647668</v>
      </c>
    </row>
    <row r="74" spans="7:12">
      <c r="G74" s="58">
        <f>Simulation!E74</f>
        <v>71</v>
      </c>
      <c r="H74" s="19">
        <f ca="1">Simulation!H74</f>
        <v>114.25473007075047</v>
      </c>
      <c r="I74" s="19">
        <f>Inputs!$D$13</f>
        <v>100</v>
      </c>
      <c r="J74" s="19">
        <f ca="1">(Simulation!H74-Inputs!$D$13)/Inputs!$D$13*Inputs!$D$12</f>
        <v>142547.30070750468</v>
      </c>
      <c r="K74" s="19">
        <f t="shared" ca="1" si="2"/>
        <v>5243.336691028002</v>
      </c>
      <c r="L74" s="59">
        <f t="shared" ca="1" si="3"/>
        <v>142547.30070750468</v>
      </c>
    </row>
    <row r="75" spans="7:12">
      <c r="G75" s="58">
        <f>Simulation!E75</f>
        <v>72</v>
      </c>
      <c r="H75" s="19">
        <f ca="1">Simulation!H75</f>
        <v>112.6169466698493</v>
      </c>
      <c r="I75" s="19">
        <f>Inputs!$D$13</f>
        <v>100</v>
      </c>
      <c r="J75" s="19">
        <f ca="1">(Simulation!H75-Inputs!$D$13)/Inputs!$D$13*Inputs!$D$12</f>
        <v>126169.46669849299</v>
      </c>
      <c r="K75" s="19">
        <f t="shared" ca="1" si="2"/>
        <v>-16377.834009011684</v>
      </c>
      <c r="L75" s="59">
        <f t="shared" ca="1" si="3"/>
        <v>126169.46669849299</v>
      </c>
    </row>
    <row r="76" spans="7:12">
      <c r="G76" s="58">
        <f>Simulation!E76</f>
        <v>73</v>
      </c>
      <c r="H76" s="19">
        <f ca="1">Simulation!H76</f>
        <v>111.25386986436371</v>
      </c>
      <c r="I76" s="19">
        <f>Inputs!$D$13</f>
        <v>100</v>
      </c>
      <c r="J76" s="19">
        <f ca="1">(Simulation!H76-Inputs!$D$13)/Inputs!$D$13*Inputs!$D$12</f>
        <v>112538.69864363708</v>
      </c>
      <c r="K76" s="19">
        <f t="shared" ca="1" si="2"/>
        <v>-13630.768054855915</v>
      </c>
      <c r="L76" s="59">
        <f t="shared" ca="1" si="3"/>
        <v>112538.69864363708</v>
      </c>
    </row>
    <row r="77" spans="7:12">
      <c r="G77" s="58">
        <f>Simulation!E77</f>
        <v>74</v>
      </c>
      <c r="H77" s="19">
        <f ca="1">Simulation!H77</f>
        <v>110.41594719199114</v>
      </c>
      <c r="I77" s="19">
        <f>Inputs!$D$13</f>
        <v>100</v>
      </c>
      <c r="J77" s="19">
        <f ca="1">(Simulation!H77-Inputs!$D$13)/Inputs!$D$13*Inputs!$D$12</f>
        <v>104159.47191991138</v>
      </c>
      <c r="K77" s="19">
        <f t="shared" ca="1" si="2"/>
        <v>-8379.2267237257038</v>
      </c>
      <c r="L77" s="59">
        <f t="shared" ca="1" si="3"/>
        <v>104159.47191991138</v>
      </c>
    </row>
    <row r="78" spans="7:12">
      <c r="G78" s="58">
        <f>Simulation!E78</f>
        <v>75</v>
      </c>
      <c r="H78" s="19">
        <f ca="1">Simulation!H78</f>
        <v>112.21920515003212</v>
      </c>
      <c r="I78" s="19">
        <f>Inputs!$D$13</f>
        <v>100</v>
      </c>
      <c r="J78" s="19">
        <f ca="1">(Simulation!H78-Inputs!$D$13)/Inputs!$D$13*Inputs!$D$12</f>
        <v>122192.05150032123</v>
      </c>
      <c r="K78" s="19">
        <f t="shared" ca="1" si="2"/>
        <v>18032.57958040986</v>
      </c>
      <c r="L78" s="59">
        <f t="shared" ca="1" si="3"/>
        <v>122192.05150032123</v>
      </c>
    </row>
    <row r="79" spans="7:12">
      <c r="G79" s="58">
        <f>Simulation!E79</f>
        <v>76</v>
      </c>
      <c r="H79" s="19">
        <f ca="1">Simulation!H79</f>
        <v>113.39897183103102</v>
      </c>
      <c r="I79" s="19">
        <f>Inputs!$D$13</f>
        <v>100</v>
      </c>
      <c r="J79" s="19">
        <f ca="1">(Simulation!H79-Inputs!$D$13)/Inputs!$D$13*Inputs!$D$12</f>
        <v>133989.71831031021</v>
      </c>
      <c r="K79" s="19">
        <f t="shared" ca="1" si="2"/>
        <v>11797.666809988979</v>
      </c>
      <c r="L79" s="59">
        <f t="shared" ca="1" si="3"/>
        <v>133989.71831031021</v>
      </c>
    </row>
    <row r="80" spans="7:12">
      <c r="G80" s="58">
        <f>Simulation!E80</f>
        <v>77</v>
      </c>
      <c r="H80" s="19">
        <f ca="1">Simulation!H80</f>
        <v>116.78471693772261</v>
      </c>
      <c r="I80" s="19">
        <f>Inputs!$D$13</f>
        <v>100</v>
      </c>
      <c r="J80" s="19">
        <f ca="1">(Simulation!H80-Inputs!$D$13)/Inputs!$D$13*Inputs!$D$12</f>
        <v>167847.16937722606</v>
      </c>
      <c r="K80" s="19">
        <f t="shared" ca="1" si="2"/>
        <v>33857.451066915848</v>
      </c>
      <c r="L80" s="59">
        <f t="shared" ca="1" si="3"/>
        <v>167847.16937722606</v>
      </c>
    </row>
    <row r="81" spans="7:12">
      <c r="G81" s="58">
        <f>Simulation!E81</f>
        <v>78</v>
      </c>
      <c r="H81" s="19">
        <f ca="1">Simulation!H81</f>
        <v>117.46888860923566</v>
      </c>
      <c r="I81" s="19">
        <f>Inputs!$D$13</f>
        <v>100</v>
      </c>
      <c r="J81" s="19">
        <f ca="1">(Simulation!H81-Inputs!$D$13)/Inputs!$D$13*Inputs!$D$12</f>
        <v>174688.88609235664</v>
      </c>
      <c r="K81" s="19">
        <f t="shared" ca="1" si="2"/>
        <v>6841.7167151305766</v>
      </c>
      <c r="L81" s="59">
        <f t="shared" ca="1" si="3"/>
        <v>174688.88609235664</v>
      </c>
    </row>
    <row r="82" spans="7:12">
      <c r="G82" s="58">
        <f>Simulation!E82</f>
        <v>79</v>
      </c>
      <c r="H82" s="19">
        <f ca="1">Simulation!H82</f>
        <v>116.18902328166453</v>
      </c>
      <c r="I82" s="19">
        <f>Inputs!$D$13</f>
        <v>100</v>
      </c>
      <c r="J82" s="19">
        <f ca="1">(Simulation!H82-Inputs!$D$13)/Inputs!$D$13*Inputs!$D$12</f>
        <v>161890.23281664532</v>
      </c>
      <c r="K82" s="19">
        <f t="shared" ca="1" si="2"/>
        <v>-12798.653275711316</v>
      </c>
      <c r="L82" s="59">
        <f t="shared" ca="1" si="3"/>
        <v>161890.23281664532</v>
      </c>
    </row>
    <row r="83" spans="7:12">
      <c r="G83" s="58">
        <f>Simulation!E83</f>
        <v>80</v>
      </c>
      <c r="H83" s="19">
        <f ca="1">Simulation!H83</f>
        <v>119.14680022158522</v>
      </c>
      <c r="I83" s="19">
        <f>Inputs!$D$13</f>
        <v>100</v>
      </c>
      <c r="J83" s="19">
        <f ca="1">(Simulation!H83-Inputs!$D$13)/Inputs!$D$13*Inputs!$D$12</f>
        <v>191468.00221585226</v>
      </c>
      <c r="K83" s="19">
        <f t="shared" ca="1" si="2"/>
        <v>29577.76939920694</v>
      </c>
      <c r="L83" s="59">
        <f t="shared" ca="1" si="3"/>
        <v>191468.00221585226</v>
      </c>
    </row>
    <row r="84" spans="7:12">
      <c r="G84" s="58">
        <f>Simulation!E84</f>
        <v>81</v>
      </c>
      <c r="H84" s="19">
        <f ca="1">Simulation!H84</f>
        <v>119.82581273514212</v>
      </c>
      <c r="I84" s="19">
        <f>Inputs!$D$13</f>
        <v>100</v>
      </c>
      <c r="J84" s="19">
        <f ca="1">(Simulation!H84-Inputs!$D$13)/Inputs!$D$13*Inputs!$D$12</f>
        <v>198258.12735142122</v>
      </c>
      <c r="K84" s="19">
        <f t="shared" ca="1" si="2"/>
        <v>6790.1251355689601</v>
      </c>
      <c r="L84" s="59">
        <f t="shared" ca="1" si="3"/>
        <v>198258.12735142122</v>
      </c>
    </row>
    <row r="85" spans="7:12">
      <c r="G85" s="58">
        <f>Simulation!E85</f>
        <v>82</v>
      </c>
      <c r="H85" s="19">
        <f ca="1">Simulation!H85</f>
        <v>118.77062594682369</v>
      </c>
      <c r="I85" s="19">
        <f>Inputs!$D$13</f>
        <v>100</v>
      </c>
      <c r="J85" s="19">
        <f ca="1">(Simulation!H85-Inputs!$D$13)/Inputs!$D$13*Inputs!$D$12</f>
        <v>187706.25946823685</v>
      </c>
      <c r="K85" s="19">
        <f t="shared" ca="1" si="2"/>
        <v>-10551.867883184372</v>
      </c>
      <c r="L85" s="59">
        <f t="shared" ca="1" si="3"/>
        <v>187706.25946823685</v>
      </c>
    </row>
    <row r="86" spans="7:12">
      <c r="G86" s="58">
        <f>Simulation!E86</f>
        <v>83</v>
      </c>
      <c r="H86" s="19">
        <f ca="1">Simulation!H86</f>
        <v>119.96856143976024</v>
      </c>
      <c r="I86" s="19">
        <f>Inputs!$D$13</f>
        <v>100</v>
      </c>
      <c r="J86" s="19">
        <f ca="1">(Simulation!H86-Inputs!$D$13)/Inputs!$D$13*Inputs!$D$12</f>
        <v>199685.61439760236</v>
      </c>
      <c r="K86" s="19">
        <f t="shared" ca="1" si="2"/>
        <v>11979.354929365509</v>
      </c>
      <c r="L86" s="59">
        <f t="shared" ca="1" si="3"/>
        <v>199685.61439760236</v>
      </c>
    </row>
    <row r="87" spans="7:12">
      <c r="G87" s="58">
        <f>Simulation!E87</f>
        <v>84</v>
      </c>
      <c r="H87" s="19">
        <f ca="1">Simulation!H87</f>
        <v>124.8244433892888</v>
      </c>
      <c r="I87" s="19">
        <f>Inputs!$D$13</f>
        <v>100</v>
      </c>
      <c r="J87" s="19">
        <f ca="1">(Simulation!H87-Inputs!$D$13)/Inputs!$D$13*Inputs!$D$12</f>
        <v>248244.43389288802</v>
      </c>
      <c r="K87" s="19">
        <f t="shared" ca="1" si="2"/>
        <v>48558.819495285657</v>
      </c>
      <c r="L87" s="59">
        <f t="shared" ca="1" si="3"/>
        <v>248244.43389288802</v>
      </c>
    </row>
    <row r="88" spans="7:12">
      <c r="G88" s="58">
        <f>Simulation!E88</f>
        <v>85</v>
      </c>
      <c r="H88" s="19">
        <f ca="1">Simulation!H88</f>
        <v>125.36781481793318</v>
      </c>
      <c r="I88" s="19">
        <f>Inputs!$D$13</f>
        <v>100</v>
      </c>
      <c r="J88" s="19">
        <f ca="1">(Simulation!H88-Inputs!$D$13)/Inputs!$D$13*Inputs!$D$12</f>
        <v>253678.14817933182</v>
      </c>
      <c r="K88" s="19">
        <f t="shared" ca="1" si="2"/>
        <v>5433.7142864438065</v>
      </c>
      <c r="L88" s="59">
        <f t="shared" ca="1" si="3"/>
        <v>253678.14817933182</v>
      </c>
    </row>
    <row r="89" spans="7:12">
      <c r="G89" s="58">
        <f>Simulation!E89</f>
        <v>86</v>
      </c>
      <c r="H89" s="19">
        <f ca="1">Simulation!H89</f>
        <v>125.46262316718942</v>
      </c>
      <c r="I89" s="19">
        <f>Inputs!$D$13</f>
        <v>100</v>
      </c>
      <c r="J89" s="19">
        <f ca="1">(Simulation!H89-Inputs!$D$13)/Inputs!$D$13*Inputs!$D$12</f>
        <v>254626.2316718942</v>
      </c>
      <c r="K89" s="19">
        <f t="shared" ca="1" si="2"/>
        <v>948.08349256237852</v>
      </c>
      <c r="L89" s="59">
        <f t="shared" ca="1" si="3"/>
        <v>254626.2316718942</v>
      </c>
    </row>
    <row r="90" spans="7:12">
      <c r="G90" s="58">
        <f>Simulation!E90</f>
        <v>87</v>
      </c>
      <c r="H90" s="19">
        <f ca="1">Simulation!H90</f>
        <v>124.29396819330788</v>
      </c>
      <c r="I90" s="19">
        <f>Inputs!$D$13</f>
        <v>100</v>
      </c>
      <c r="J90" s="19">
        <f ca="1">(Simulation!H90-Inputs!$D$13)/Inputs!$D$13*Inputs!$D$12</f>
        <v>242939.68193307877</v>
      </c>
      <c r="K90" s="19">
        <f t="shared" ca="1" si="2"/>
        <v>-11686.549738815433</v>
      </c>
      <c r="L90" s="59">
        <f t="shared" ca="1" si="3"/>
        <v>242939.68193307877</v>
      </c>
    </row>
    <row r="91" spans="7:12">
      <c r="G91" s="58">
        <f>Simulation!E91</f>
        <v>88</v>
      </c>
      <c r="H91" s="19">
        <f ca="1">Simulation!H91</f>
        <v>122.22676949682666</v>
      </c>
      <c r="I91" s="19">
        <f>Inputs!$D$13</f>
        <v>100</v>
      </c>
      <c r="J91" s="19">
        <f ca="1">(Simulation!H91-Inputs!$D$13)/Inputs!$D$13*Inputs!$D$12</f>
        <v>222267.69496826662</v>
      </c>
      <c r="K91" s="19">
        <f t="shared" ca="1" si="2"/>
        <v>-20671.986964812153</v>
      </c>
      <c r="L91" s="59">
        <f t="shared" ca="1" si="3"/>
        <v>222267.69496826662</v>
      </c>
    </row>
    <row r="92" spans="7:12">
      <c r="G92" s="58">
        <f>Simulation!E92</f>
        <v>89</v>
      </c>
      <c r="H92" s="19">
        <f ca="1">Simulation!H92</f>
        <v>122.72553901128988</v>
      </c>
      <c r="I92" s="19">
        <f>Inputs!$D$13</f>
        <v>100</v>
      </c>
      <c r="J92" s="19">
        <f ca="1">(Simulation!H92-Inputs!$D$13)/Inputs!$D$13*Inputs!$D$12</f>
        <v>227255.39011289884</v>
      </c>
      <c r="K92" s="19">
        <f t="shared" ca="1" si="2"/>
        <v>4987.69514463222</v>
      </c>
      <c r="L92" s="59">
        <f t="shared" ca="1" si="3"/>
        <v>227255.39011289884</v>
      </c>
    </row>
    <row r="93" spans="7:12">
      <c r="G93" s="58">
        <f>Simulation!E93</f>
        <v>90</v>
      </c>
      <c r="H93" s="19">
        <f ca="1">Simulation!H93</f>
        <v>123.55454408360056</v>
      </c>
      <c r="I93" s="19">
        <f>Inputs!$D$13</f>
        <v>100</v>
      </c>
      <c r="J93" s="19">
        <f ca="1">(Simulation!H93-Inputs!$D$13)/Inputs!$D$13*Inputs!$D$12</f>
        <v>235545.44083600561</v>
      </c>
      <c r="K93" s="19">
        <f t="shared" ca="1" si="2"/>
        <v>8290.050723106775</v>
      </c>
      <c r="L93" s="59">
        <f t="shared" ca="1" si="3"/>
        <v>235545.44083600561</v>
      </c>
    </row>
    <row r="94" spans="7:12">
      <c r="G94" s="58">
        <f>Simulation!E94</f>
        <v>91</v>
      </c>
      <c r="H94" s="19">
        <f ca="1">Simulation!H94</f>
        <v>125.1641973983272</v>
      </c>
      <c r="I94" s="19">
        <f>Inputs!$D$13</f>
        <v>100</v>
      </c>
      <c r="J94" s="19">
        <f ca="1">(Simulation!H94-Inputs!$D$13)/Inputs!$D$13*Inputs!$D$12</f>
        <v>251641.97398327204</v>
      </c>
      <c r="K94" s="19">
        <f t="shared" ca="1" si="2"/>
        <v>16096.533147266426</v>
      </c>
      <c r="L94" s="59">
        <f t="shared" ca="1" si="3"/>
        <v>251641.97398327204</v>
      </c>
    </row>
    <row r="95" spans="7:12">
      <c r="G95" s="58">
        <f>Simulation!E95</f>
        <v>92</v>
      </c>
      <c r="H95" s="19">
        <f ca="1">Simulation!H95</f>
        <v>120.95708314590895</v>
      </c>
      <c r="I95" s="19">
        <f>Inputs!$D$13</f>
        <v>100</v>
      </c>
      <c r="J95" s="19">
        <f ca="1">(Simulation!H95-Inputs!$D$13)/Inputs!$D$13*Inputs!$D$12</f>
        <v>209570.83145908953</v>
      </c>
      <c r="K95" s="19">
        <f t="shared" ca="1" si="2"/>
        <v>-42071.142524182505</v>
      </c>
      <c r="L95" s="59">
        <f t="shared" ca="1" si="3"/>
        <v>209570.83145908953</v>
      </c>
    </row>
    <row r="96" spans="7:12">
      <c r="G96" s="58">
        <f>Simulation!E96</f>
        <v>93</v>
      </c>
      <c r="H96" s="19">
        <f ca="1">Simulation!H96</f>
        <v>119.8697074769546</v>
      </c>
      <c r="I96" s="19">
        <f>Inputs!$D$13</f>
        <v>100</v>
      </c>
      <c r="J96" s="19">
        <f ca="1">(Simulation!H96-Inputs!$D$13)/Inputs!$D$13*Inputs!$D$12</f>
        <v>198697.07476954602</v>
      </c>
      <c r="K96" s="19">
        <f t="shared" ca="1" si="2"/>
        <v>-10873.756689543516</v>
      </c>
      <c r="L96" s="59">
        <f t="shared" ca="1" si="3"/>
        <v>198697.07476954602</v>
      </c>
    </row>
    <row r="97" spans="7:12">
      <c r="G97" s="58">
        <f>Simulation!E97</f>
        <v>94</v>
      </c>
      <c r="H97" s="19">
        <f ca="1">Simulation!H97</f>
        <v>121.76568835726202</v>
      </c>
      <c r="I97" s="19">
        <f>Inputs!$D$13</f>
        <v>100</v>
      </c>
      <c r="J97" s="19">
        <f ca="1">(Simulation!H97-Inputs!$D$13)/Inputs!$D$13*Inputs!$D$12</f>
        <v>217656.88357262022</v>
      </c>
      <c r="K97" s="19">
        <f t="shared" ca="1" si="2"/>
        <v>18959.808803074207</v>
      </c>
      <c r="L97" s="59">
        <f t="shared" ca="1" si="3"/>
        <v>217656.88357262022</v>
      </c>
    </row>
    <row r="98" spans="7:12">
      <c r="G98" s="58">
        <f>Simulation!E98</f>
        <v>95</v>
      </c>
      <c r="H98" s="19">
        <f ca="1">Simulation!H98</f>
        <v>123.92673241874857</v>
      </c>
      <c r="I98" s="19">
        <f>Inputs!$D$13</f>
        <v>100</v>
      </c>
      <c r="J98" s="19">
        <f ca="1">(Simulation!H98-Inputs!$D$13)/Inputs!$D$13*Inputs!$D$12</f>
        <v>239267.32418748573</v>
      </c>
      <c r="K98" s="19">
        <f t="shared" ca="1" si="2"/>
        <v>21610.440614865511</v>
      </c>
      <c r="L98" s="59">
        <f t="shared" ca="1" si="3"/>
        <v>239267.32418748573</v>
      </c>
    </row>
    <row r="99" spans="7:12">
      <c r="G99" s="58">
        <f>Simulation!E99</f>
        <v>96</v>
      </c>
      <c r="H99" s="19">
        <f ca="1">Simulation!H99</f>
        <v>125.11882156896029</v>
      </c>
      <c r="I99" s="19">
        <f>Inputs!$D$13</f>
        <v>100</v>
      </c>
      <c r="J99" s="19">
        <f ca="1">(Simulation!H99-Inputs!$D$13)/Inputs!$D$13*Inputs!$D$12</f>
        <v>251188.21568960286</v>
      </c>
      <c r="K99" s="19">
        <f t="shared" ca="1" si="2"/>
        <v>11920.891502117127</v>
      </c>
      <c r="L99" s="59">
        <f t="shared" ca="1" si="3"/>
        <v>251188.21568960286</v>
      </c>
    </row>
    <row r="100" spans="7:12">
      <c r="G100" s="58">
        <f>Simulation!E100</f>
        <v>97</v>
      </c>
      <c r="H100" s="19">
        <f ca="1">Simulation!H100</f>
        <v>124.09890795484741</v>
      </c>
      <c r="I100" s="19">
        <f>Inputs!$D$13</f>
        <v>100</v>
      </c>
      <c r="J100" s="19">
        <f ca="1">(Simulation!H100-Inputs!$D$13)/Inputs!$D$13*Inputs!$D$12</f>
        <v>240989.07954847405</v>
      </c>
      <c r="K100" s="19">
        <f t="shared" ca="1" si="2"/>
        <v>-10199.136141128809</v>
      </c>
      <c r="L100" s="59">
        <f t="shared" ca="1" si="3"/>
        <v>240989.07954847405</v>
      </c>
    </row>
    <row r="101" spans="7:12">
      <c r="G101" s="58">
        <f>Simulation!E101</f>
        <v>98</v>
      </c>
      <c r="H101" s="19">
        <f ca="1">Simulation!H101</f>
        <v>122.59165777880061</v>
      </c>
      <c r="I101" s="19">
        <f>Inputs!$D$13</f>
        <v>100</v>
      </c>
      <c r="J101" s="19">
        <f ca="1">(Simulation!H101-Inputs!$D$13)/Inputs!$D$13*Inputs!$D$12</f>
        <v>225916.57778800608</v>
      </c>
      <c r="K101" s="19">
        <f t="shared" ca="1" si="2"/>
        <v>-15072.501760467974</v>
      </c>
      <c r="L101" s="59">
        <f t="shared" ca="1" si="3"/>
        <v>225916.57778800608</v>
      </c>
    </row>
    <row r="102" spans="7:12">
      <c r="G102" s="58">
        <f>Simulation!E102</f>
        <v>99</v>
      </c>
      <c r="H102" s="19">
        <f ca="1">Simulation!H102</f>
        <v>124.46083916399915</v>
      </c>
      <c r="I102" s="19">
        <f>Inputs!$D$13</f>
        <v>100</v>
      </c>
      <c r="J102" s="19">
        <f ca="1">(Simulation!H102-Inputs!$D$13)/Inputs!$D$13*Inputs!$D$12</f>
        <v>244608.39163999155</v>
      </c>
      <c r="K102" s="19">
        <f t="shared" ca="1" si="2"/>
        <v>18691.813851985469</v>
      </c>
      <c r="L102" s="59">
        <f t="shared" ca="1" si="3"/>
        <v>244608.39163999155</v>
      </c>
    </row>
    <row r="103" spans="7:12">
      <c r="G103" s="58">
        <f>Simulation!E103</f>
        <v>100</v>
      </c>
      <c r="H103" s="19">
        <f ca="1">Simulation!H103</f>
        <v>123.52507801194149</v>
      </c>
      <c r="I103" s="19">
        <f>Inputs!$D$13</f>
        <v>100</v>
      </c>
      <c r="J103" s="19">
        <f ca="1">(Simulation!H103-Inputs!$D$13)/Inputs!$D$13*Inputs!$D$12</f>
        <v>235250.78011941488</v>
      </c>
      <c r="K103" s="19">
        <f t="shared" ca="1" si="2"/>
        <v>-9357.6115205766691</v>
      </c>
      <c r="L103" s="59">
        <f t="shared" ca="1" si="3"/>
        <v>235250.78011941488</v>
      </c>
    </row>
    <row r="104" spans="7:12">
      <c r="G104" s="58">
        <f>Simulation!E104</f>
        <v>101</v>
      </c>
      <c r="H104" s="19">
        <f ca="1">Simulation!H104</f>
        <v>123.90138455958815</v>
      </c>
      <c r="I104" s="19">
        <f>Inputs!$D$13</f>
        <v>100</v>
      </c>
      <c r="J104" s="19">
        <f ca="1">(Simulation!H104-Inputs!$D$13)/Inputs!$D$13*Inputs!$D$12</f>
        <v>239013.84559588152</v>
      </c>
      <c r="K104" s="19">
        <f t="shared" ca="1" si="2"/>
        <v>3763.0654764666397</v>
      </c>
      <c r="L104" s="59">
        <f t="shared" ca="1" si="3"/>
        <v>239013.84559588152</v>
      </c>
    </row>
    <row r="105" spans="7:12">
      <c r="G105" s="58">
        <f>Simulation!E105</f>
        <v>102</v>
      </c>
      <c r="H105" s="19">
        <f ca="1">Simulation!H105</f>
        <v>123.67927196975839</v>
      </c>
      <c r="I105" s="19">
        <f>Inputs!$D$13</f>
        <v>100</v>
      </c>
      <c r="J105" s="19">
        <f ca="1">(Simulation!H105-Inputs!$D$13)/Inputs!$D$13*Inputs!$D$12</f>
        <v>236792.7196975839</v>
      </c>
      <c r="K105" s="19">
        <f t="shared" ca="1" si="2"/>
        <v>-2221.1258982976142</v>
      </c>
      <c r="L105" s="59">
        <f t="shared" ca="1" si="3"/>
        <v>236792.7196975839</v>
      </c>
    </row>
    <row r="106" spans="7:12">
      <c r="G106" s="58">
        <f>Simulation!E106</f>
        <v>103</v>
      </c>
      <c r="H106" s="19">
        <f ca="1">Simulation!H106</f>
        <v>123.79426008134222</v>
      </c>
      <c r="I106" s="19">
        <f>Inputs!$D$13</f>
        <v>100</v>
      </c>
      <c r="J106" s="19">
        <f ca="1">(Simulation!H106-Inputs!$D$13)/Inputs!$D$13*Inputs!$D$12</f>
        <v>237942.60081342218</v>
      </c>
      <c r="K106" s="19">
        <f t="shared" ca="1" si="2"/>
        <v>1149.8811158382741</v>
      </c>
      <c r="L106" s="59">
        <f t="shared" ca="1" si="3"/>
        <v>237942.60081342218</v>
      </c>
    </row>
    <row r="107" spans="7:12">
      <c r="G107" s="58">
        <f>Simulation!E107</f>
        <v>104</v>
      </c>
      <c r="H107" s="19">
        <f ca="1">Simulation!H107</f>
        <v>123.38924931727421</v>
      </c>
      <c r="I107" s="19">
        <f>Inputs!$D$13</f>
        <v>100</v>
      </c>
      <c r="J107" s="19">
        <f ca="1">(Simulation!H107-Inputs!$D$13)/Inputs!$D$13*Inputs!$D$12</f>
        <v>233892.49317274208</v>
      </c>
      <c r="K107" s="19">
        <f t="shared" ca="1" si="2"/>
        <v>-4050.1076406801003</v>
      </c>
      <c r="L107" s="59">
        <f t="shared" ca="1" si="3"/>
        <v>233892.49317274208</v>
      </c>
    </row>
    <row r="108" spans="7:12">
      <c r="G108" s="58">
        <f>Simulation!E108</f>
        <v>105</v>
      </c>
      <c r="H108" s="19">
        <f ca="1">Simulation!H108</f>
        <v>121.90651734519911</v>
      </c>
      <c r="I108" s="19">
        <f>Inputs!$D$13</f>
        <v>100</v>
      </c>
      <c r="J108" s="19">
        <f ca="1">(Simulation!H108-Inputs!$D$13)/Inputs!$D$13*Inputs!$D$12</f>
        <v>219065.17345199105</v>
      </c>
      <c r="K108" s="19">
        <f t="shared" ca="1" si="2"/>
        <v>-14827.319720751024</v>
      </c>
      <c r="L108" s="59">
        <f t="shared" ca="1" si="3"/>
        <v>219065.17345199105</v>
      </c>
    </row>
    <row r="109" spans="7:12">
      <c r="G109" s="58">
        <f>Simulation!E109</f>
        <v>106</v>
      </c>
      <c r="H109" s="19">
        <f ca="1">Simulation!H109</f>
        <v>121.30323892960726</v>
      </c>
      <c r="I109" s="19">
        <f>Inputs!$D$13</f>
        <v>100</v>
      </c>
      <c r="J109" s="19">
        <f ca="1">(Simulation!H109-Inputs!$D$13)/Inputs!$D$13*Inputs!$D$12</f>
        <v>213032.38929607259</v>
      </c>
      <c r="K109" s="19">
        <f t="shared" ca="1" si="2"/>
        <v>-6032.7841559184599</v>
      </c>
      <c r="L109" s="59">
        <f t="shared" ca="1" si="3"/>
        <v>213032.38929607259</v>
      </c>
    </row>
    <row r="110" spans="7:12">
      <c r="G110" s="58">
        <f>Simulation!E110</f>
        <v>107</v>
      </c>
      <c r="H110" s="19">
        <f ca="1">Simulation!H110</f>
        <v>122.85138650863455</v>
      </c>
      <c r="I110" s="19">
        <f>Inputs!$D$13</f>
        <v>100</v>
      </c>
      <c r="J110" s="19">
        <f ca="1">(Simulation!H110-Inputs!$D$13)/Inputs!$D$13*Inputs!$D$12</f>
        <v>228513.86508634547</v>
      </c>
      <c r="K110" s="19">
        <f t="shared" ca="1" si="2"/>
        <v>15481.475790272874</v>
      </c>
      <c r="L110" s="59">
        <f t="shared" ca="1" si="3"/>
        <v>228513.86508634547</v>
      </c>
    </row>
    <row r="111" spans="7:12">
      <c r="G111" s="58">
        <f>Simulation!E111</f>
        <v>108</v>
      </c>
      <c r="H111" s="19">
        <f ca="1">Simulation!H111</f>
        <v>119.78514760445771</v>
      </c>
      <c r="I111" s="19">
        <f>Inputs!$D$13</f>
        <v>100</v>
      </c>
      <c r="J111" s="19">
        <f ca="1">(Simulation!H111-Inputs!$D$13)/Inputs!$D$13*Inputs!$D$12</f>
        <v>197851.47604457705</v>
      </c>
      <c r="K111" s="19">
        <f t="shared" ca="1" si="2"/>
        <v>-30662.389041768416</v>
      </c>
      <c r="L111" s="59">
        <f t="shared" ca="1" si="3"/>
        <v>197851.47604457705</v>
      </c>
    </row>
    <row r="112" spans="7:12">
      <c r="G112" s="58">
        <f>Simulation!E112</f>
        <v>109</v>
      </c>
      <c r="H112" s="19">
        <f ca="1">Simulation!H112</f>
        <v>117.89658901101855</v>
      </c>
      <c r="I112" s="19">
        <f>Inputs!$D$13</f>
        <v>100</v>
      </c>
      <c r="J112" s="19">
        <f ca="1">(Simulation!H112-Inputs!$D$13)/Inputs!$D$13*Inputs!$D$12</f>
        <v>178965.89011018549</v>
      </c>
      <c r="K112" s="19">
        <f t="shared" ca="1" si="2"/>
        <v>-18885.585934391565</v>
      </c>
      <c r="L112" s="59">
        <f t="shared" ca="1" si="3"/>
        <v>178965.89011018549</v>
      </c>
    </row>
    <row r="113" spans="7:12">
      <c r="G113" s="58">
        <f>Simulation!E113</f>
        <v>110</v>
      </c>
      <c r="H113" s="19">
        <f ca="1">Simulation!H113</f>
        <v>120.20146002406442</v>
      </c>
      <c r="I113" s="19">
        <f>Inputs!$D$13</f>
        <v>100</v>
      </c>
      <c r="J113" s="19">
        <f ca="1">(Simulation!H113-Inputs!$D$13)/Inputs!$D$13*Inputs!$D$12</f>
        <v>202014.60024064415</v>
      </c>
      <c r="K113" s="19">
        <f t="shared" ca="1" si="2"/>
        <v>23048.710130458669</v>
      </c>
      <c r="L113" s="59">
        <f t="shared" ca="1" si="3"/>
        <v>202014.60024064415</v>
      </c>
    </row>
    <row r="114" spans="7:12">
      <c r="G114" s="58">
        <f>Simulation!E114</f>
        <v>111</v>
      </c>
      <c r="H114" s="19">
        <f ca="1">Simulation!H114</f>
        <v>119.69695076450436</v>
      </c>
      <c r="I114" s="19">
        <f>Inputs!$D$13</f>
        <v>100</v>
      </c>
      <c r="J114" s="19">
        <f ca="1">(Simulation!H114-Inputs!$D$13)/Inputs!$D$13*Inputs!$D$12</f>
        <v>196969.50764504363</v>
      </c>
      <c r="K114" s="19">
        <f t="shared" ca="1" si="2"/>
        <v>-5045.0925956005231</v>
      </c>
      <c r="L114" s="59">
        <f t="shared" ca="1" si="3"/>
        <v>196969.50764504363</v>
      </c>
    </row>
    <row r="115" spans="7:12">
      <c r="G115" s="58">
        <f>Simulation!E115</f>
        <v>112</v>
      </c>
      <c r="H115" s="19">
        <f ca="1">Simulation!H115</f>
        <v>121.14236123334756</v>
      </c>
      <c r="I115" s="19">
        <f>Inputs!$D$13</f>
        <v>100</v>
      </c>
      <c r="J115" s="19">
        <f ca="1">(Simulation!H115-Inputs!$D$13)/Inputs!$D$13*Inputs!$D$12</f>
        <v>211423.61233347555</v>
      </c>
      <c r="K115" s="19">
        <f t="shared" ca="1" si="2"/>
        <v>14454.104688431922</v>
      </c>
      <c r="L115" s="59">
        <f t="shared" ca="1" si="3"/>
        <v>211423.61233347555</v>
      </c>
    </row>
    <row r="116" spans="7:12">
      <c r="G116" s="58">
        <f>Simulation!E116</f>
        <v>113</v>
      </c>
      <c r="H116" s="19">
        <f ca="1">Simulation!H116</f>
        <v>118.91392239369328</v>
      </c>
      <c r="I116" s="19">
        <f>Inputs!$D$13</f>
        <v>100</v>
      </c>
      <c r="J116" s="19">
        <f ca="1">(Simulation!H116-Inputs!$D$13)/Inputs!$D$13*Inputs!$D$12</f>
        <v>189139.22393693283</v>
      </c>
      <c r="K116" s="19">
        <f t="shared" ca="1" si="2"/>
        <v>-22284.388396542723</v>
      </c>
      <c r="L116" s="59">
        <f t="shared" ca="1" si="3"/>
        <v>189139.22393693283</v>
      </c>
    </row>
    <row r="117" spans="7:12">
      <c r="G117" s="58">
        <f>Simulation!E117</f>
        <v>114</v>
      </c>
      <c r="H117" s="19">
        <f ca="1">Simulation!H117</f>
        <v>117.83158701793977</v>
      </c>
      <c r="I117" s="19">
        <f>Inputs!$D$13</f>
        <v>100</v>
      </c>
      <c r="J117" s="19">
        <f ca="1">(Simulation!H117-Inputs!$D$13)/Inputs!$D$13*Inputs!$D$12</f>
        <v>178315.87017939767</v>
      </c>
      <c r="K117" s="19">
        <f t="shared" ca="1" si="2"/>
        <v>-10823.353757535166</v>
      </c>
      <c r="L117" s="59">
        <f t="shared" ca="1" si="3"/>
        <v>178315.87017939767</v>
      </c>
    </row>
    <row r="118" spans="7:12">
      <c r="G118" s="58">
        <f>Simulation!E118</f>
        <v>115</v>
      </c>
      <c r="H118" s="19">
        <f ca="1">Simulation!H118</f>
        <v>119.86005462936141</v>
      </c>
      <c r="I118" s="19">
        <f>Inputs!$D$13</f>
        <v>100</v>
      </c>
      <c r="J118" s="19">
        <f ca="1">(Simulation!H118-Inputs!$D$13)/Inputs!$D$13*Inputs!$D$12</f>
        <v>198600.54629361414</v>
      </c>
      <c r="K118" s="19">
        <f t="shared" ca="1" si="2"/>
        <v>20284.676114216476</v>
      </c>
      <c r="L118" s="59">
        <f t="shared" ca="1" si="3"/>
        <v>198600.54629361414</v>
      </c>
    </row>
    <row r="119" spans="7:12">
      <c r="G119" s="58">
        <f>Simulation!E119</f>
        <v>116</v>
      </c>
      <c r="H119" s="19">
        <f ca="1">Simulation!H119</f>
        <v>119.32616414770224</v>
      </c>
      <c r="I119" s="19">
        <f>Inputs!$D$13</f>
        <v>100</v>
      </c>
      <c r="J119" s="19">
        <f ca="1">(Simulation!H119-Inputs!$D$13)/Inputs!$D$13*Inputs!$D$12</f>
        <v>193261.64147702244</v>
      </c>
      <c r="K119" s="19">
        <f t="shared" ca="1" si="2"/>
        <v>-5338.9048165917047</v>
      </c>
      <c r="L119" s="59">
        <f t="shared" ca="1" si="3"/>
        <v>193261.64147702244</v>
      </c>
    </row>
    <row r="120" spans="7:12">
      <c r="G120" s="58">
        <f>Simulation!E120</f>
        <v>117</v>
      </c>
      <c r="H120" s="19">
        <f ca="1">Simulation!H120</f>
        <v>118.8628520807526</v>
      </c>
      <c r="I120" s="19">
        <f>Inputs!$D$13</f>
        <v>100</v>
      </c>
      <c r="J120" s="19">
        <f ca="1">(Simulation!H120-Inputs!$D$13)/Inputs!$D$13*Inputs!$D$12</f>
        <v>188628.52080752605</v>
      </c>
      <c r="K120" s="19">
        <f t="shared" ca="1" si="2"/>
        <v>-4633.1206694963912</v>
      </c>
      <c r="L120" s="59">
        <f t="shared" ca="1" si="3"/>
        <v>188628.52080752605</v>
      </c>
    </row>
    <row r="121" spans="7:12">
      <c r="G121" s="58">
        <f>Simulation!E121</f>
        <v>118</v>
      </c>
      <c r="H121" s="19">
        <f ca="1">Simulation!H121</f>
        <v>120.67915947978537</v>
      </c>
      <c r="I121" s="19">
        <f>Inputs!$D$13</f>
        <v>100</v>
      </c>
      <c r="J121" s="19">
        <f ca="1">(Simulation!H121-Inputs!$D$13)/Inputs!$D$13*Inputs!$D$12</f>
        <v>206791.5947978537</v>
      </c>
      <c r="K121" s="19">
        <f t="shared" ca="1" si="2"/>
        <v>18163.073990327655</v>
      </c>
      <c r="L121" s="59">
        <f t="shared" ca="1" si="3"/>
        <v>206791.5947978537</v>
      </c>
    </row>
    <row r="122" spans="7:12">
      <c r="G122" s="58">
        <f>Simulation!E122</f>
        <v>119</v>
      </c>
      <c r="H122" s="19">
        <f ca="1">Simulation!H122</f>
        <v>121.93818504923193</v>
      </c>
      <c r="I122" s="19">
        <f>Inputs!$D$13</f>
        <v>100</v>
      </c>
      <c r="J122" s="19">
        <f ca="1">(Simulation!H122-Inputs!$D$13)/Inputs!$D$13*Inputs!$D$12</f>
        <v>219381.85049231935</v>
      </c>
      <c r="K122" s="19">
        <f t="shared" ca="1" si="2"/>
        <v>12590.255694465654</v>
      </c>
      <c r="L122" s="59">
        <f t="shared" ca="1" si="3"/>
        <v>219381.85049231935</v>
      </c>
    </row>
    <row r="123" spans="7:12">
      <c r="G123" s="58">
        <f>Simulation!E123</f>
        <v>120</v>
      </c>
      <c r="H123" s="19">
        <f ca="1">Simulation!H123</f>
        <v>121.40922300385687</v>
      </c>
      <c r="I123" s="19">
        <f>Inputs!$D$13</f>
        <v>100</v>
      </c>
      <c r="J123" s="19">
        <f ca="1">(Simulation!H123-Inputs!$D$13)/Inputs!$D$13*Inputs!$D$12</f>
        <v>214092.23003856867</v>
      </c>
      <c r="K123" s="19">
        <f t="shared" ca="1" si="2"/>
        <v>-5289.6204537506856</v>
      </c>
      <c r="L123" s="59">
        <f t="shared" ca="1" si="3"/>
        <v>214092.23003856867</v>
      </c>
    </row>
    <row r="124" spans="7:12">
      <c r="G124" s="58">
        <f>Simulation!E124</f>
        <v>121</v>
      </c>
      <c r="H124" s="19">
        <f ca="1">Simulation!H124</f>
        <v>123.54835533072662</v>
      </c>
      <c r="I124" s="19">
        <f>Inputs!$D$13</f>
        <v>100</v>
      </c>
      <c r="J124" s="19">
        <f ca="1">(Simulation!H124-Inputs!$D$13)/Inputs!$D$13*Inputs!$D$12</f>
        <v>235483.55330726624</v>
      </c>
      <c r="K124" s="19">
        <f t="shared" ca="1" si="2"/>
        <v>21391.323268697568</v>
      </c>
      <c r="L124" s="59">
        <f t="shared" ca="1" si="3"/>
        <v>235483.55330726624</v>
      </c>
    </row>
    <row r="125" spans="7:12">
      <c r="G125" s="58">
        <f>Simulation!E125</f>
        <v>122</v>
      </c>
      <c r="H125" s="19">
        <f ca="1">Simulation!H125</f>
        <v>124.08733045415495</v>
      </c>
      <c r="I125" s="19">
        <f>Inputs!$D$13</f>
        <v>100</v>
      </c>
      <c r="J125" s="19">
        <f ca="1">(Simulation!H125-Inputs!$D$13)/Inputs!$D$13*Inputs!$D$12</f>
        <v>240873.3045415495</v>
      </c>
      <c r="K125" s="19">
        <f t="shared" ca="1" si="2"/>
        <v>5389.7512342832633</v>
      </c>
      <c r="L125" s="59">
        <f t="shared" ca="1" si="3"/>
        <v>240873.3045415495</v>
      </c>
    </row>
    <row r="126" spans="7:12">
      <c r="G126" s="58">
        <f>Simulation!E126</f>
        <v>123</v>
      </c>
      <c r="H126" s="19">
        <f ca="1">Simulation!H126</f>
        <v>122.99313063150188</v>
      </c>
      <c r="I126" s="19">
        <f>Inputs!$D$13</f>
        <v>100</v>
      </c>
      <c r="J126" s="19">
        <f ca="1">(Simulation!H126-Inputs!$D$13)/Inputs!$D$13*Inputs!$D$12</f>
        <v>229931.30631501885</v>
      </c>
      <c r="K126" s="19">
        <f t="shared" ca="1" si="2"/>
        <v>-10941.998226530646</v>
      </c>
      <c r="L126" s="59">
        <f t="shared" ca="1" si="3"/>
        <v>229931.30631501885</v>
      </c>
    </row>
    <row r="127" spans="7:12">
      <c r="G127" s="58">
        <f>Simulation!E127</f>
        <v>124</v>
      </c>
      <c r="H127" s="19">
        <f ca="1">Simulation!H127</f>
        <v>124.9627071972691</v>
      </c>
      <c r="I127" s="19">
        <f>Inputs!$D$13</f>
        <v>100</v>
      </c>
      <c r="J127" s="19">
        <f ca="1">(Simulation!H127-Inputs!$D$13)/Inputs!$D$13*Inputs!$D$12</f>
        <v>249627.07197269096</v>
      </c>
      <c r="K127" s="19">
        <f t="shared" ca="1" si="2"/>
        <v>19695.765657672106</v>
      </c>
      <c r="L127" s="59">
        <f t="shared" ca="1" si="3"/>
        <v>249627.07197269096</v>
      </c>
    </row>
    <row r="128" spans="7:12">
      <c r="G128" s="58">
        <f>Simulation!E128</f>
        <v>125</v>
      </c>
      <c r="H128" s="19">
        <f ca="1">Simulation!H128</f>
        <v>121.8851575816813</v>
      </c>
      <c r="I128" s="19">
        <f>Inputs!$D$13</f>
        <v>100</v>
      </c>
      <c r="J128" s="19">
        <f ca="1">(Simulation!H128-Inputs!$D$13)/Inputs!$D$13*Inputs!$D$12</f>
        <v>218851.57581681298</v>
      </c>
      <c r="K128" s="19">
        <f t="shared" ca="1" si="2"/>
        <v>-30775.496155877976</v>
      </c>
      <c r="L128" s="59">
        <f t="shared" ca="1" si="3"/>
        <v>218851.57581681298</v>
      </c>
    </row>
    <row r="129" spans="7:12">
      <c r="G129" s="58">
        <f>Simulation!E129</f>
        <v>126</v>
      </c>
      <c r="H129" s="19">
        <f ca="1">Simulation!H129</f>
        <v>122.14056748066032</v>
      </c>
      <c r="I129" s="19">
        <f>Inputs!$D$13</f>
        <v>100</v>
      </c>
      <c r="J129" s="19">
        <f ca="1">(Simulation!H129-Inputs!$D$13)/Inputs!$D$13*Inputs!$D$12</f>
        <v>221405.67480660323</v>
      </c>
      <c r="K129" s="19">
        <f t="shared" ca="1" si="2"/>
        <v>2554.0989897902473</v>
      </c>
      <c r="L129" s="59">
        <f t="shared" ca="1" si="3"/>
        <v>221405.67480660323</v>
      </c>
    </row>
    <row r="130" spans="7:12">
      <c r="G130" s="58">
        <f>Simulation!E130</f>
        <v>127</v>
      </c>
      <c r="H130" s="19">
        <f ca="1">Simulation!H130</f>
        <v>124.14718981352812</v>
      </c>
      <c r="I130" s="19">
        <f>Inputs!$D$13</f>
        <v>100</v>
      </c>
      <c r="J130" s="19">
        <f ca="1">(Simulation!H130-Inputs!$D$13)/Inputs!$D$13*Inputs!$D$12</f>
        <v>241471.89813528114</v>
      </c>
      <c r="K130" s="19">
        <f t="shared" ca="1" si="2"/>
        <v>20066.223328677908</v>
      </c>
      <c r="L130" s="59">
        <f t="shared" ca="1" si="3"/>
        <v>241471.89813528114</v>
      </c>
    </row>
    <row r="131" spans="7:12">
      <c r="G131" s="58">
        <f>Simulation!E131</f>
        <v>128</v>
      </c>
      <c r="H131" s="19">
        <f ca="1">Simulation!H131</f>
        <v>126.68873307547884</v>
      </c>
      <c r="I131" s="19">
        <f>Inputs!$D$13</f>
        <v>100</v>
      </c>
      <c r="J131" s="19">
        <f ca="1">(Simulation!H131-Inputs!$D$13)/Inputs!$D$13*Inputs!$D$12</f>
        <v>266887.33075478836</v>
      </c>
      <c r="K131" s="19">
        <f t="shared" ca="1" si="2"/>
        <v>25415.432619507221</v>
      </c>
      <c r="L131" s="59">
        <f t="shared" ca="1" si="3"/>
        <v>266887.33075478836</v>
      </c>
    </row>
    <row r="132" spans="7:12">
      <c r="G132" s="58">
        <f>Simulation!E132</f>
        <v>129</v>
      </c>
      <c r="H132" s="19">
        <f ca="1">Simulation!H132</f>
        <v>124.35145413072831</v>
      </c>
      <c r="I132" s="19">
        <f>Inputs!$D$13</f>
        <v>100</v>
      </c>
      <c r="J132" s="19">
        <f ca="1">(Simulation!H132-Inputs!$D$13)/Inputs!$D$13*Inputs!$D$12</f>
        <v>243514.54130728316</v>
      </c>
      <c r="K132" s="19">
        <f t="shared" ca="1" si="2"/>
        <v>-23372.789447505202</v>
      </c>
      <c r="L132" s="59">
        <f t="shared" ca="1" si="3"/>
        <v>243514.54130728316</v>
      </c>
    </row>
    <row r="133" spans="7:12">
      <c r="G133" s="58">
        <f>Simulation!E133</f>
        <v>130</v>
      </c>
      <c r="H133" s="19">
        <f ca="1">Simulation!H133</f>
        <v>121.99146571054494</v>
      </c>
      <c r="I133" s="19">
        <f>Inputs!$D$13</f>
        <v>100</v>
      </c>
      <c r="J133" s="19">
        <f ca="1">(Simulation!H133-Inputs!$D$13)/Inputs!$D$13*Inputs!$D$12</f>
        <v>219914.65710544944</v>
      </c>
      <c r="K133" s="19">
        <f t="shared" ref="K133:K196" ca="1" si="4">J133-J132</f>
        <v>-23599.884201833716</v>
      </c>
      <c r="L133" s="59">
        <f t="shared" ref="L133:L196" ca="1" si="5">+L132+K133</f>
        <v>219914.65710544944</v>
      </c>
    </row>
    <row r="134" spans="7:12">
      <c r="G134" s="58">
        <f>Simulation!E134</f>
        <v>131</v>
      </c>
      <c r="H134" s="19">
        <f ca="1">Simulation!H134</f>
        <v>121.97624553587318</v>
      </c>
      <c r="I134" s="19">
        <f>Inputs!$D$13</f>
        <v>100</v>
      </c>
      <c r="J134" s="19">
        <f ca="1">(Simulation!H134-Inputs!$D$13)/Inputs!$D$13*Inputs!$D$12</f>
        <v>219762.45535873176</v>
      </c>
      <c r="K134" s="19">
        <f t="shared" ca="1" si="4"/>
        <v>-152.20174671767745</v>
      </c>
      <c r="L134" s="59">
        <f t="shared" ca="1" si="5"/>
        <v>219762.45535873176</v>
      </c>
    </row>
    <row r="135" spans="7:12">
      <c r="G135" s="58">
        <f>Simulation!E135</f>
        <v>132</v>
      </c>
      <c r="H135" s="19">
        <f ca="1">Simulation!H135</f>
        <v>121.50217192274114</v>
      </c>
      <c r="I135" s="19">
        <f>Inputs!$D$13</f>
        <v>100</v>
      </c>
      <c r="J135" s="19">
        <f ca="1">(Simulation!H135-Inputs!$D$13)/Inputs!$D$13*Inputs!$D$12</f>
        <v>215021.71922741143</v>
      </c>
      <c r="K135" s="19">
        <f t="shared" ca="1" si="4"/>
        <v>-4740.7361313203292</v>
      </c>
      <c r="L135" s="59">
        <f t="shared" ca="1" si="5"/>
        <v>215021.71922741143</v>
      </c>
    </row>
    <row r="136" spans="7:12">
      <c r="G136" s="58">
        <f>Simulation!E136</f>
        <v>133</v>
      </c>
      <c r="H136" s="19">
        <f ca="1">Simulation!H136</f>
        <v>123.59743636550958</v>
      </c>
      <c r="I136" s="19">
        <f>Inputs!$D$13</f>
        <v>100</v>
      </c>
      <c r="J136" s="19">
        <f ca="1">(Simulation!H136-Inputs!$D$13)/Inputs!$D$13*Inputs!$D$12</f>
        <v>235974.3636550958</v>
      </c>
      <c r="K136" s="19">
        <f t="shared" ca="1" si="4"/>
        <v>20952.644427684369</v>
      </c>
      <c r="L136" s="59">
        <f t="shared" ca="1" si="5"/>
        <v>235974.3636550958</v>
      </c>
    </row>
    <row r="137" spans="7:12">
      <c r="G137" s="58">
        <f>Simulation!E137</f>
        <v>134</v>
      </c>
      <c r="H137" s="19">
        <f ca="1">Simulation!H137</f>
        <v>124.93867398950512</v>
      </c>
      <c r="I137" s="19">
        <f>Inputs!$D$13</f>
        <v>100</v>
      </c>
      <c r="J137" s="19">
        <f ca="1">(Simulation!H137-Inputs!$D$13)/Inputs!$D$13*Inputs!$D$12</f>
        <v>249386.7398950512</v>
      </c>
      <c r="K137" s="19">
        <f t="shared" ca="1" si="4"/>
        <v>13412.376239955396</v>
      </c>
      <c r="L137" s="59">
        <f t="shared" ca="1" si="5"/>
        <v>249386.7398950512</v>
      </c>
    </row>
    <row r="138" spans="7:12">
      <c r="G138" s="58">
        <f>Simulation!E138</f>
        <v>135</v>
      </c>
      <c r="H138" s="19">
        <f ca="1">Simulation!H138</f>
        <v>124.94929187750314</v>
      </c>
      <c r="I138" s="19">
        <f>Inputs!$D$13</f>
        <v>100</v>
      </c>
      <c r="J138" s="19">
        <f ca="1">(Simulation!H138-Inputs!$D$13)/Inputs!$D$13*Inputs!$D$12</f>
        <v>249492.91877503143</v>
      </c>
      <c r="K138" s="19">
        <f t="shared" ca="1" si="4"/>
        <v>106.1788799802307</v>
      </c>
      <c r="L138" s="59">
        <f t="shared" ca="1" si="5"/>
        <v>249492.91877503143</v>
      </c>
    </row>
    <row r="139" spans="7:12">
      <c r="G139" s="58">
        <f>Simulation!E139</f>
        <v>136</v>
      </c>
      <c r="H139" s="19">
        <f ca="1">Simulation!H139</f>
        <v>123.75799266627642</v>
      </c>
      <c r="I139" s="19">
        <f>Inputs!$D$13</f>
        <v>100</v>
      </c>
      <c r="J139" s="19">
        <f ca="1">(Simulation!H139-Inputs!$D$13)/Inputs!$D$13*Inputs!$D$12</f>
        <v>237579.92666276422</v>
      </c>
      <c r="K139" s="19">
        <f t="shared" ca="1" si="4"/>
        <v>-11912.992112267209</v>
      </c>
      <c r="L139" s="59">
        <f t="shared" ca="1" si="5"/>
        <v>237579.92666276422</v>
      </c>
    </row>
    <row r="140" spans="7:12">
      <c r="G140" s="58">
        <f>Simulation!E140</f>
        <v>137</v>
      </c>
      <c r="H140" s="19">
        <f ca="1">Simulation!H140</f>
        <v>121.58276168611084</v>
      </c>
      <c r="I140" s="19">
        <f>Inputs!$D$13</f>
        <v>100</v>
      </c>
      <c r="J140" s="19">
        <f ca="1">(Simulation!H140-Inputs!$D$13)/Inputs!$D$13*Inputs!$D$12</f>
        <v>215827.61686110843</v>
      </c>
      <c r="K140" s="19">
        <f t="shared" ca="1" si="4"/>
        <v>-21752.309801655792</v>
      </c>
      <c r="L140" s="59">
        <f t="shared" ca="1" si="5"/>
        <v>215827.61686110843</v>
      </c>
    </row>
    <row r="141" spans="7:12">
      <c r="G141" s="58">
        <f>Simulation!E141</f>
        <v>138</v>
      </c>
      <c r="H141" s="19">
        <f ca="1">Simulation!H141</f>
        <v>120.41246702247976</v>
      </c>
      <c r="I141" s="19">
        <f>Inputs!$D$13</f>
        <v>100</v>
      </c>
      <c r="J141" s="19">
        <f ca="1">(Simulation!H141-Inputs!$D$13)/Inputs!$D$13*Inputs!$D$12</f>
        <v>204124.67022479759</v>
      </c>
      <c r="K141" s="19">
        <f t="shared" ca="1" si="4"/>
        <v>-11702.946636310837</v>
      </c>
      <c r="L141" s="59">
        <f t="shared" ca="1" si="5"/>
        <v>204124.67022479759</v>
      </c>
    </row>
    <row r="142" spans="7:12">
      <c r="G142" s="58">
        <f>Simulation!E142</f>
        <v>139</v>
      </c>
      <c r="H142" s="19">
        <f ca="1">Simulation!H142</f>
        <v>120.64320666862106</v>
      </c>
      <c r="I142" s="19">
        <f>Inputs!$D$13</f>
        <v>100</v>
      </c>
      <c r="J142" s="19">
        <f ca="1">(Simulation!H142-Inputs!$D$13)/Inputs!$D$13*Inputs!$D$12</f>
        <v>206432.0666862106</v>
      </c>
      <c r="K142" s="19">
        <f t="shared" ca="1" si="4"/>
        <v>2307.3964614130091</v>
      </c>
      <c r="L142" s="59">
        <f t="shared" ca="1" si="5"/>
        <v>206432.0666862106</v>
      </c>
    </row>
    <row r="143" spans="7:12">
      <c r="G143" s="58">
        <f>Simulation!E143</f>
        <v>140</v>
      </c>
      <c r="H143" s="19">
        <f ca="1">Simulation!H143</f>
        <v>119.54873961766214</v>
      </c>
      <c r="I143" s="19">
        <f>Inputs!$D$13</f>
        <v>100</v>
      </c>
      <c r="J143" s="19">
        <f ca="1">(Simulation!H143-Inputs!$D$13)/Inputs!$D$13*Inputs!$D$12</f>
        <v>195487.39617662138</v>
      </c>
      <c r="K143" s="19">
        <f t="shared" ca="1" si="4"/>
        <v>-10944.670509589225</v>
      </c>
      <c r="L143" s="59">
        <f t="shared" ca="1" si="5"/>
        <v>195487.39617662138</v>
      </c>
    </row>
    <row r="144" spans="7:12">
      <c r="G144" s="58">
        <f>Simulation!E144</f>
        <v>141</v>
      </c>
      <c r="H144" s="19">
        <f ca="1">Simulation!H144</f>
        <v>118.28109780924271</v>
      </c>
      <c r="I144" s="19">
        <f>Inputs!$D$13</f>
        <v>100</v>
      </c>
      <c r="J144" s="19">
        <f ca="1">(Simulation!H144-Inputs!$D$13)/Inputs!$D$13*Inputs!$D$12</f>
        <v>182810.97809242707</v>
      </c>
      <c r="K144" s="19">
        <f t="shared" ca="1" si="4"/>
        <v>-12676.418084194302</v>
      </c>
      <c r="L144" s="59">
        <f t="shared" ca="1" si="5"/>
        <v>182810.97809242707</v>
      </c>
    </row>
    <row r="145" spans="7:12">
      <c r="G145" s="58">
        <f>Simulation!E145</f>
        <v>142</v>
      </c>
      <c r="H145" s="19">
        <f ca="1">Simulation!H145</f>
        <v>118.22056622909092</v>
      </c>
      <c r="I145" s="19">
        <f>Inputs!$D$13</f>
        <v>100</v>
      </c>
      <c r="J145" s="19">
        <f ca="1">(Simulation!H145-Inputs!$D$13)/Inputs!$D$13*Inputs!$D$12</f>
        <v>182205.66229090921</v>
      </c>
      <c r="K145" s="19">
        <f t="shared" ca="1" si="4"/>
        <v>-605.31580151786329</v>
      </c>
      <c r="L145" s="59">
        <f t="shared" ca="1" si="5"/>
        <v>182205.66229090921</v>
      </c>
    </row>
    <row r="146" spans="7:12">
      <c r="G146" s="58">
        <f>Simulation!E146</f>
        <v>143</v>
      </c>
      <c r="H146" s="19">
        <f ca="1">Simulation!H146</f>
        <v>117.27514958794536</v>
      </c>
      <c r="I146" s="19">
        <f>Inputs!$D$13</f>
        <v>100</v>
      </c>
      <c r="J146" s="19">
        <f ca="1">(Simulation!H146-Inputs!$D$13)/Inputs!$D$13*Inputs!$D$12</f>
        <v>172751.49587945367</v>
      </c>
      <c r="K146" s="19">
        <f t="shared" ca="1" si="4"/>
        <v>-9454.166411455546</v>
      </c>
      <c r="L146" s="59">
        <f t="shared" ca="1" si="5"/>
        <v>172751.49587945367</v>
      </c>
    </row>
    <row r="147" spans="7:12">
      <c r="G147" s="58">
        <f>Simulation!E147</f>
        <v>144</v>
      </c>
      <c r="H147" s="19">
        <f ca="1">Simulation!H147</f>
        <v>113.32692957936895</v>
      </c>
      <c r="I147" s="19">
        <f>Inputs!$D$13</f>
        <v>100</v>
      </c>
      <c r="J147" s="19">
        <f ca="1">(Simulation!H147-Inputs!$D$13)/Inputs!$D$13*Inputs!$D$12</f>
        <v>133269.29579368953</v>
      </c>
      <c r="K147" s="19">
        <f t="shared" ca="1" si="4"/>
        <v>-39482.20008576414</v>
      </c>
      <c r="L147" s="59">
        <f t="shared" ca="1" si="5"/>
        <v>133269.29579368953</v>
      </c>
    </row>
    <row r="148" spans="7:12">
      <c r="G148" s="58">
        <f>Simulation!E148</f>
        <v>145</v>
      </c>
      <c r="H148" s="19">
        <f ca="1">Simulation!H148</f>
        <v>113.06707273930184</v>
      </c>
      <c r="I148" s="19">
        <f>Inputs!$D$13</f>
        <v>100</v>
      </c>
      <c r="J148" s="19">
        <f ca="1">(Simulation!H148-Inputs!$D$13)/Inputs!$D$13*Inputs!$D$12</f>
        <v>130670.72739301836</v>
      </c>
      <c r="K148" s="19">
        <f t="shared" ca="1" si="4"/>
        <v>-2598.5684006711672</v>
      </c>
      <c r="L148" s="59">
        <f t="shared" ca="1" si="5"/>
        <v>130670.72739301836</v>
      </c>
    </row>
    <row r="149" spans="7:12">
      <c r="G149" s="58">
        <f>Simulation!E149</f>
        <v>146</v>
      </c>
      <c r="H149" s="19">
        <f ca="1">Simulation!H149</f>
        <v>114.48032100164791</v>
      </c>
      <c r="I149" s="19">
        <f>Inputs!$D$13</f>
        <v>100</v>
      </c>
      <c r="J149" s="19">
        <f ca="1">(Simulation!H149-Inputs!$D$13)/Inputs!$D$13*Inputs!$D$12</f>
        <v>144803.21001647908</v>
      </c>
      <c r="K149" s="19">
        <f t="shared" ca="1" si="4"/>
        <v>14132.482623460717</v>
      </c>
      <c r="L149" s="59">
        <f t="shared" ca="1" si="5"/>
        <v>144803.21001647908</v>
      </c>
    </row>
    <row r="150" spans="7:12">
      <c r="G150" s="58">
        <f>Simulation!E150</f>
        <v>147</v>
      </c>
      <c r="H150" s="19">
        <f ca="1">Simulation!H150</f>
        <v>111.90450898175075</v>
      </c>
      <c r="I150" s="19">
        <f>Inputs!$D$13</f>
        <v>100</v>
      </c>
      <c r="J150" s="19">
        <f ca="1">(Simulation!H150-Inputs!$D$13)/Inputs!$D$13*Inputs!$D$12</f>
        <v>119045.08981750751</v>
      </c>
      <c r="K150" s="19">
        <f t="shared" ca="1" si="4"/>
        <v>-25758.120198971563</v>
      </c>
      <c r="L150" s="59">
        <f t="shared" ca="1" si="5"/>
        <v>119045.08981750751</v>
      </c>
    </row>
    <row r="151" spans="7:12">
      <c r="G151" s="58">
        <f>Simulation!E151</f>
        <v>148</v>
      </c>
      <c r="H151" s="19">
        <f ca="1">Simulation!H151</f>
        <v>111.23914584654702</v>
      </c>
      <c r="I151" s="19">
        <f>Inputs!$D$13</f>
        <v>100</v>
      </c>
      <c r="J151" s="19">
        <f ca="1">(Simulation!H151-Inputs!$D$13)/Inputs!$D$13*Inputs!$D$12</f>
        <v>112391.45846547018</v>
      </c>
      <c r="K151" s="19">
        <f t="shared" ca="1" si="4"/>
        <v>-6653.6313520373369</v>
      </c>
      <c r="L151" s="59">
        <f t="shared" ca="1" si="5"/>
        <v>112391.45846547018</v>
      </c>
    </row>
    <row r="152" spans="7:12">
      <c r="G152" s="58">
        <f>Simulation!E152</f>
        <v>149</v>
      </c>
      <c r="H152" s="19">
        <f ca="1">Simulation!H152</f>
        <v>107.90635713229838</v>
      </c>
      <c r="I152" s="19">
        <f>Inputs!$D$13</f>
        <v>100</v>
      </c>
      <c r="J152" s="19">
        <f ca="1">(Simulation!H152-Inputs!$D$13)/Inputs!$D$13*Inputs!$D$12</f>
        <v>79063.571322983815</v>
      </c>
      <c r="K152" s="19">
        <f t="shared" ca="1" si="4"/>
        <v>-33327.887142486361</v>
      </c>
      <c r="L152" s="59">
        <f t="shared" ca="1" si="5"/>
        <v>79063.571322983815</v>
      </c>
    </row>
    <row r="153" spans="7:12">
      <c r="G153" s="58">
        <f>Simulation!E153</f>
        <v>150</v>
      </c>
      <c r="H153" s="19">
        <f ca="1">Simulation!H153</f>
        <v>108.36969195531081</v>
      </c>
      <c r="I153" s="19">
        <f>Inputs!$D$13</f>
        <v>100</v>
      </c>
      <c r="J153" s="19">
        <f ca="1">(Simulation!H153-Inputs!$D$13)/Inputs!$D$13*Inputs!$D$12</f>
        <v>83696.919553108135</v>
      </c>
      <c r="K153" s="19">
        <f t="shared" ca="1" si="4"/>
        <v>4633.3482301243203</v>
      </c>
      <c r="L153" s="59">
        <f t="shared" ca="1" si="5"/>
        <v>83696.919553108135</v>
      </c>
    </row>
    <row r="154" spans="7:12">
      <c r="G154" s="58">
        <f>Simulation!E154</f>
        <v>151</v>
      </c>
      <c r="H154" s="19">
        <f ca="1">Simulation!H154</f>
        <v>108.09578229727744</v>
      </c>
      <c r="I154" s="19">
        <f>Inputs!$D$13</f>
        <v>100</v>
      </c>
      <c r="J154" s="19">
        <f ca="1">(Simulation!H154-Inputs!$D$13)/Inputs!$D$13*Inputs!$D$12</f>
        <v>80957.822972774375</v>
      </c>
      <c r="K154" s="19">
        <f t="shared" ca="1" si="4"/>
        <v>-2739.0965803337604</v>
      </c>
      <c r="L154" s="59">
        <f t="shared" ca="1" si="5"/>
        <v>80957.822972774375</v>
      </c>
    </row>
    <row r="155" spans="7:12">
      <c r="G155" s="58">
        <f>Simulation!E155</f>
        <v>152</v>
      </c>
      <c r="H155" s="19">
        <f ca="1">Simulation!H155</f>
        <v>109.58252049379752</v>
      </c>
      <c r="I155" s="19">
        <f>Inputs!$D$13</f>
        <v>100</v>
      </c>
      <c r="J155" s="19">
        <f ca="1">(Simulation!H155-Inputs!$D$13)/Inputs!$D$13*Inputs!$D$12</f>
        <v>95825.20493797517</v>
      </c>
      <c r="K155" s="19">
        <f t="shared" ca="1" si="4"/>
        <v>14867.381965200795</v>
      </c>
      <c r="L155" s="59">
        <f t="shared" ca="1" si="5"/>
        <v>95825.20493797517</v>
      </c>
    </row>
    <row r="156" spans="7:12">
      <c r="G156" s="58">
        <f>Simulation!E156</f>
        <v>153</v>
      </c>
      <c r="H156" s="19">
        <f ca="1">Simulation!H156</f>
        <v>109.8585294909189</v>
      </c>
      <c r="I156" s="19">
        <f>Inputs!$D$13</f>
        <v>100</v>
      </c>
      <c r="J156" s="19">
        <f ca="1">(Simulation!H156-Inputs!$D$13)/Inputs!$D$13*Inputs!$D$12</f>
        <v>98585.294909188975</v>
      </c>
      <c r="K156" s="19">
        <f t="shared" ca="1" si="4"/>
        <v>2760.0899712138053</v>
      </c>
      <c r="L156" s="59">
        <f t="shared" ca="1" si="5"/>
        <v>98585.294909188975</v>
      </c>
    </row>
    <row r="157" spans="7:12">
      <c r="G157" s="58">
        <f>Simulation!E157</f>
        <v>154</v>
      </c>
      <c r="H157" s="19">
        <f ca="1">Simulation!H157</f>
        <v>109.90721366430759</v>
      </c>
      <c r="I157" s="19">
        <f>Inputs!$D$13</f>
        <v>100</v>
      </c>
      <c r="J157" s="19">
        <f ca="1">(Simulation!H157-Inputs!$D$13)/Inputs!$D$13*Inputs!$D$12</f>
        <v>99072.136643075908</v>
      </c>
      <c r="K157" s="19">
        <f t="shared" ca="1" si="4"/>
        <v>486.84173388693307</v>
      </c>
      <c r="L157" s="59">
        <f t="shared" ca="1" si="5"/>
        <v>99072.136643075908</v>
      </c>
    </row>
    <row r="158" spans="7:12">
      <c r="G158" s="58">
        <f>Simulation!E158</f>
        <v>155</v>
      </c>
      <c r="H158" s="19">
        <f ca="1">Simulation!H158</f>
        <v>109.61327129044749</v>
      </c>
      <c r="I158" s="19">
        <f>Inputs!$D$13</f>
        <v>100</v>
      </c>
      <c r="J158" s="19">
        <f ca="1">(Simulation!H158-Inputs!$D$13)/Inputs!$D$13*Inputs!$D$12</f>
        <v>96132.712904474858</v>
      </c>
      <c r="K158" s="19">
        <f t="shared" ca="1" si="4"/>
        <v>-2939.42373860105</v>
      </c>
      <c r="L158" s="59">
        <f t="shared" ca="1" si="5"/>
        <v>96132.712904474858</v>
      </c>
    </row>
    <row r="159" spans="7:12">
      <c r="G159" s="58">
        <f>Simulation!E159</f>
        <v>156</v>
      </c>
      <c r="H159" s="19">
        <f ca="1">Simulation!H159</f>
        <v>108.15623626775931</v>
      </c>
      <c r="I159" s="19">
        <f>Inputs!$D$13</f>
        <v>100</v>
      </c>
      <c r="J159" s="19">
        <f ca="1">(Simulation!H159-Inputs!$D$13)/Inputs!$D$13*Inputs!$D$12</f>
        <v>81562.362677593119</v>
      </c>
      <c r="K159" s="19">
        <f t="shared" ca="1" si="4"/>
        <v>-14570.350226881739</v>
      </c>
      <c r="L159" s="59">
        <f t="shared" ca="1" si="5"/>
        <v>81562.362677593119</v>
      </c>
    </row>
    <row r="160" spans="7:12">
      <c r="G160" s="58">
        <f>Simulation!E160</f>
        <v>157</v>
      </c>
      <c r="H160" s="19">
        <f ca="1">Simulation!H160</f>
        <v>108.89243685058516</v>
      </c>
      <c r="I160" s="19">
        <f>Inputs!$D$13</f>
        <v>100</v>
      </c>
      <c r="J160" s="19">
        <f ca="1">(Simulation!H160-Inputs!$D$13)/Inputs!$D$13*Inputs!$D$12</f>
        <v>88924.368505851555</v>
      </c>
      <c r="K160" s="19">
        <f t="shared" ca="1" si="4"/>
        <v>7362.0058282584359</v>
      </c>
      <c r="L160" s="59">
        <f t="shared" ca="1" si="5"/>
        <v>88924.368505851555</v>
      </c>
    </row>
    <row r="161" spans="7:12">
      <c r="G161" s="58">
        <f>Simulation!E161</f>
        <v>158</v>
      </c>
      <c r="H161" s="19">
        <f ca="1">Simulation!H161</f>
        <v>106.26558434582486</v>
      </c>
      <c r="I161" s="19">
        <f>Inputs!$D$13</f>
        <v>100</v>
      </c>
      <c r="J161" s="19">
        <f ca="1">(Simulation!H161-Inputs!$D$13)/Inputs!$D$13*Inputs!$D$12</f>
        <v>62655.843458248622</v>
      </c>
      <c r="K161" s="19">
        <f t="shared" ca="1" si="4"/>
        <v>-26268.525047602932</v>
      </c>
      <c r="L161" s="59">
        <f t="shared" ca="1" si="5"/>
        <v>62655.843458248622</v>
      </c>
    </row>
    <row r="162" spans="7:12">
      <c r="G162" s="58">
        <f>Simulation!E162</f>
        <v>159</v>
      </c>
      <c r="H162" s="19">
        <f ca="1">Simulation!H162</f>
        <v>104.3162327938176</v>
      </c>
      <c r="I162" s="19">
        <f>Inputs!$D$13</f>
        <v>100</v>
      </c>
      <c r="J162" s="19">
        <f ca="1">(Simulation!H162-Inputs!$D$13)/Inputs!$D$13*Inputs!$D$12</f>
        <v>43162.327938176051</v>
      </c>
      <c r="K162" s="19">
        <f t="shared" ca="1" si="4"/>
        <v>-19493.515520072571</v>
      </c>
      <c r="L162" s="59">
        <f t="shared" ca="1" si="5"/>
        <v>43162.327938176051</v>
      </c>
    </row>
    <row r="163" spans="7:12">
      <c r="G163" s="58">
        <f>Simulation!E163</f>
        <v>160</v>
      </c>
      <c r="H163" s="19">
        <f ca="1">Simulation!H163</f>
        <v>105.07144180240918</v>
      </c>
      <c r="I163" s="19">
        <f>Inputs!$D$13</f>
        <v>100</v>
      </c>
      <c r="J163" s="19">
        <f ca="1">(Simulation!H163-Inputs!$D$13)/Inputs!$D$13*Inputs!$D$12</f>
        <v>50714.418024091829</v>
      </c>
      <c r="K163" s="19">
        <f t="shared" ca="1" si="4"/>
        <v>7552.0900859157773</v>
      </c>
      <c r="L163" s="59">
        <f t="shared" ca="1" si="5"/>
        <v>50714.418024091829</v>
      </c>
    </row>
    <row r="164" spans="7:12">
      <c r="G164" s="58">
        <f>Simulation!E164</f>
        <v>161</v>
      </c>
      <c r="H164" s="19">
        <f ca="1">Simulation!H164</f>
        <v>105.95939200233241</v>
      </c>
      <c r="I164" s="19">
        <f>Inputs!$D$13</f>
        <v>100</v>
      </c>
      <c r="J164" s="19">
        <f ca="1">(Simulation!H164-Inputs!$D$13)/Inputs!$D$13*Inputs!$D$12</f>
        <v>59593.92002332407</v>
      </c>
      <c r="K164" s="19">
        <f t="shared" ca="1" si="4"/>
        <v>8879.5019992322414</v>
      </c>
      <c r="L164" s="59">
        <f t="shared" ca="1" si="5"/>
        <v>59593.92002332407</v>
      </c>
    </row>
    <row r="165" spans="7:12">
      <c r="G165" s="58">
        <f>Simulation!E165</f>
        <v>162</v>
      </c>
      <c r="H165" s="19">
        <f ca="1">Simulation!H165</f>
        <v>104.18197432038049</v>
      </c>
      <c r="I165" s="19">
        <f>Inputs!$D$13</f>
        <v>100</v>
      </c>
      <c r="J165" s="19">
        <f ca="1">(Simulation!H165-Inputs!$D$13)/Inputs!$D$13*Inputs!$D$12</f>
        <v>41819.743203804901</v>
      </c>
      <c r="K165" s="19">
        <f t="shared" ca="1" si="4"/>
        <v>-17774.176819519169</v>
      </c>
      <c r="L165" s="59">
        <f t="shared" ca="1" si="5"/>
        <v>41819.743203804901</v>
      </c>
    </row>
    <row r="166" spans="7:12">
      <c r="G166" s="58">
        <f>Simulation!E166</f>
        <v>163</v>
      </c>
      <c r="H166" s="19">
        <f ca="1">Simulation!H166</f>
        <v>102.93301214684359</v>
      </c>
      <c r="I166" s="19">
        <f>Inputs!$D$13</f>
        <v>100</v>
      </c>
      <c r="J166" s="19">
        <f ca="1">(Simulation!H166-Inputs!$D$13)/Inputs!$D$13*Inputs!$D$12</f>
        <v>29330.121468435947</v>
      </c>
      <c r="K166" s="19">
        <f t="shared" ca="1" si="4"/>
        <v>-12489.621735368954</v>
      </c>
      <c r="L166" s="59">
        <f t="shared" ca="1" si="5"/>
        <v>29330.121468435947</v>
      </c>
    </row>
    <row r="167" spans="7:12">
      <c r="G167" s="58">
        <f>Simulation!E167</f>
        <v>164</v>
      </c>
      <c r="H167" s="19">
        <f ca="1">Simulation!H167</f>
        <v>102.58764331812779</v>
      </c>
      <c r="I167" s="19">
        <f>Inputs!$D$13</f>
        <v>100</v>
      </c>
      <c r="J167" s="19">
        <f ca="1">(Simulation!H167-Inputs!$D$13)/Inputs!$D$13*Inputs!$D$12</f>
        <v>25876.433181277891</v>
      </c>
      <c r="K167" s="19">
        <f t="shared" ca="1" si="4"/>
        <v>-3453.6882871580565</v>
      </c>
      <c r="L167" s="59">
        <f t="shared" ca="1" si="5"/>
        <v>25876.433181277891</v>
      </c>
    </row>
    <row r="168" spans="7:12">
      <c r="G168" s="58">
        <f>Simulation!E168</f>
        <v>165</v>
      </c>
      <c r="H168" s="19">
        <f ca="1">Simulation!H168</f>
        <v>101.93563432821691</v>
      </c>
      <c r="I168" s="19">
        <f>Inputs!$D$13</f>
        <v>100</v>
      </c>
      <c r="J168" s="19">
        <f ca="1">(Simulation!H168-Inputs!$D$13)/Inputs!$D$13*Inputs!$D$12</f>
        <v>19356.343282169066</v>
      </c>
      <c r="K168" s="19">
        <f t="shared" ca="1" si="4"/>
        <v>-6520.0898991088252</v>
      </c>
      <c r="L168" s="59">
        <f t="shared" ca="1" si="5"/>
        <v>19356.343282169066</v>
      </c>
    </row>
    <row r="169" spans="7:12">
      <c r="G169" s="58">
        <f>Simulation!E169</f>
        <v>166</v>
      </c>
      <c r="H169" s="19">
        <f ca="1">Simulation!H169</f>
        <v>103.2738710210336</v>
      </c>
      <c r="I169" s="19">
        <f>Inputs!$D$13</f>
        <v>100</v>
      </c>
      <c r="J169" s="19">
        <f ca="1">(Simulation!H169-Inputs!$D$13)/Inputs!$D$13*Inputs!$D$12</f>
        <v>32738.710210335998</v>
      </c>
      <c r="K169" s="19">
        <f t="shared" ca="1" si="4"/>
        <v>13382.366928166932</v>
      </c>
      <c r="L169" s="59">
        <f t="shared" ca="1" si="5"/>
        <v>32738.710210335998</v>
      </c>
    </row>
    <row r="170" spans="7:12">
      <c r="G170" s="58">
        <f>Simulation!E170</f>
        <v>167</v>
      </c>
      <c r="H170" s="19">
        <f ca="1">Simulation!H170</f>
        <v>103.03925450318494</v>
      </c>
      <c r="I170" s="19">
        <f>Inputs!$D$13</f>
        <v>100</v>
      </c>
      <c r="J170" s="19">
        <f ca="1">(Simulation!H170-Inputs!$D$13)/Inputs!$D$13*Inputs!$D$12</f>
        <v>30392.545031849353</v>
      </c>
      <c r="K170" s="19">
        <f t="shared" ca="1" si="4"/>
        <v>-2346.1651784866444</v>
      </c>
      <c r="L170" s="59">
        <f t="shared" ca="1" si="5"/>
        <v>30392.545031849353</v>
      </c>
    </row>
    <row r="171" spans="7:12">
      <c r="G171" s="58">
        <f>Simulation!E171</f>
        <v>168</v>
      </c>
      <c r="H171" s="19">
        <f ca="1">Simulation!H171</f>
        <v>103.92970023903715</v>
      </c>
      <c r="I171" s="19">
        <f>Inputs!$D$13</f>
        <v>100</v>
      </c>
      <c r="J171" s="19">
        <f ca="1">(Simulation!H171-Inputs!$D$13)/Inputs!$D$13*Inputs!$D$12</f>
        <v>39297.002390371461</v>
      </c>
      <c r="K171" s="19">
        <f t="shared" ca="1" si="4"/>
        <v>8904.4573585221078</v>
      </c>
      <c r="L171" s="59">
        <f t="shared" ca="1" si="5"/>
        <v>39297.002390371461</v>
      </c>
    </row>
    <row r="172" spans="7:12">
      <c r="G172" s="58">
        <f>Simulation!E172</f>
        <v>169</v>
      </c>
      <c r="H172" s="19">
        <f ca="1">Simulation!H172</f>
        <v>102.23187028071445</v>
      </c>
      <c r="I172" s="19">
        <f>Inputs!$D$13</f>
        <v>100</v>
      </c>
      <c r="J172" s="19">
        <f ca="1">(Simulation!H172-Inputs!$D$13)/Inputs!$D$13*Inputs!$D$12</f>
        <v>22318.702807144462</v>
      </c>
      <c r="K172" s="19">
        <f t="shared" ca="1" si="4"/>
        <v>-16978.299583226999</v>
      </c>
      <c r="L172" s="59">
        <f t="shared" ca="1" si="5"/>
        <v>22318.702807144462</v>
      </c>
    </row>
    <row r="173" spans="7:12">
      <c r="G173" s="58">
        <f>Simulation!E173</f>
        <v>170</v>
      </c>
      <c r="H173" s="19">
        <f ca="1">Simulation!H173</f>
        <v>102.39192752250857</v>
      </c>
      <c r="I173" s="19">
        <f>Inputs!$D$13</f>
        <v>100</v>
      </c>
      <c r="J173" s="19">
        <f ca="1">(Simulation!H173-Inputs!$D$13)/Inputs!$D$13*Inputs!$D$12</f>
        <v>23919.275225085668</v>
      </c>
      <c r="K173" s="19">
        <f t="shared" ca="1" si="4"/>
        <v>1600.5724179412064</v>
      </c>
      <c r="L173" s="59">
        <f t="shared" ca="1" si="5"/>
        <v>23919.275225085668</v>
      </c>
    </row>
    <row r="174" spans="7:12">
      <c r="G174" s="58">
        <f>Simulation!E174</f>
        <v>171</v>
      </c>
      <c r="H174" s="19">
        <f ca="1">Simulation!H174</f>
        <v>103.26188313716212</v>
      </c>
      <c r="I174" s="19">
        <f>Inputs!$D$13</f>
        <v>100</v>
      </c>
      <c r="J174" s="19">
        <f ca="1">(Simulation!H174-Inputs!$D$13)/Inputs!$D$13*Inputs!$D$12</f>
        <v>32618.83137162116</v>
      </c>
      <c r="K174" s="19">
        <f t="shared" ca="1" si="4"/>
        <v>8699.5561465354913</v>
      </c>
      <c r="L174" s="59">
        <f t="shared" ca="1" si="5"/>
        <v>32618.83137162116</v>
      </c>
    </row>
    <row r="175" spans="7:12">
      <c r="G175" s="58">
        <f>Simulation!E175</f>
        <v>172</v>
      </c>
      <c r="H175" s="19">
        <f ca="1">Simulation!H175</f>
        <v>103.56009124930286</v>
      </c>
      <c r="I175" s="19">
        <f>Inputs!$D$13</f>
        <v>100</v>
      </c>
      <c r="J175" s="19">
        <f ca="1">(Simulation!H175-Inputs!$D$13)/Inputs!$D$13*Inputs!$D$12</f>
        <v>35600.912493028576</v>
      </c>
      <c r="K175" s="19">
        <f t="shared" ca="1" si="4"/>
        <v>2982.0811214074165</v>
      </c>
      <c r="L175" s="59">
        <f t="shared" ca="1" si="5"/>
        <v>35600.912493028576</v>
      </c>
    </row>
    <row r="176" spans="7:12">
      <c r="G176" s="58">
        <f>Simulation!E176</f>
        <v>173</v>
      </c>
      <c r="H176" s="19">
        <f ca="1">Simulation!H176</f>
        <v>103.44318849196546</v>
      </c>
      <c r="I176" s="19">
        <f>Inputs!$D$13</f>
        <v>100</v>
      </c>
      <c r="J176" s="19">
        <f ca="1">(Simulation!H176-Inputs!$D$13)/Inputs!$D$13*Inputs!$D$12</f>
        <v>34431.884919654578</v>
      </c>
      <c r="K176" s="19">
        <f t="shared" ca="1" si="4"/>
        <v>-1169.0275733739982</v>
      </c>
      <c r="L176" s="59">
        <f t="shared" ca="1" si="5"/>
        <v>34431.884919654578</v>
      </c>
    </row>
    <row r="177" spans="7:12">
      <c r="G177" s="58">
        <f>Simulation!E177</f>
        <v>174</v>
      </c>
      <c r="H177" s="19">
        <f ca="1">Simulation!H177</f>
        <v>104.3908407298935</v>
      </c>
      <c r="I177" s="19">
        <f>Inputs!$D$13</f>
        <v>100</v>
      </c>
      <c r="J177" s="19">
        <f ca="1">(Simulation!H177-Inputs!$D$13)/Inputs!$D$13*Inputs!$D$12</f>
        <v>43908.407298934981</v>
      </c>
      <c r="K177" s="19">
        <f t="shared" ca="1" si="4"/>
        <v>9476.5223792804027</v>
      </c>
      <c r="L177" s="59">
        <f t="shared" ca="1" si="5"/>
        <v>43908.407298934981</v>
      </c>
    </row>
    <row r="178" spans="7:12">
      <c r="G178" s="58">
        <f>Simulation!E178</f>
        <v>175</v>
      </c>
      <c r="H178" s="19">
        <f ca="1">Simulation!H178</f>
        <v>106.442059032885</v>
      </c>
      <c r="I178" s="19">
        <f>Inputs!$D$13</f>
        <v>100</v>
      </c>
      <c r="J178" s="19">
        <f ca="1">(Simulation!H178-Inputs!$D$13)/Inputs!$D$13*Inputs!$D$12</f>
        <v>64420.59032884999</v>
      </c>
      <c r="K178" s="19">
        <f t="shared" ca="1" si="4"/>
        <v>20512.18302991501</v>
      </c>
      <c r="L178" s="59">
        <f t="shared" ca="1" si="5"/>
        <v>64420.59032884999</v>
      </c>
    </row>
    <row r="179" spans="7:12">
      <c r="G179" s="58">
        <f>Simulation!E179</f>
        <v>176</v>
      </c>
      <c r="H179" s="19">
        <f ca="1">Simulation!H179</f>
        <v>104.4428435477691</v>
      </c>
      <c r="I179" s="19">
        <f>Inputs!$D$13</f>
        <v>100</v>
      </c>
      <c r="J179" s="19">
        <f ca="1">(Simulation!H179-Inputs!$D$13)/Inputs!$D$13*Inputs!$D$12</f>
        <v>44428.435477691011</v>
      </c>
      <c r="K179" s="19">
        <f t="shared" ca="1" si="4"/>
        <v>-19992.154851158979</v>
      </c>
      <c r="L179" s="59">
        <f t="shared" ca="1" si="5"/>
        <v>44428.435477691011</v>
      </c>
    </row>
    <row r="180" spans="7:12">
      <c r="G180" s="58">
        <f>Simulation!E180</f>
        <v>177</v>
      </c>
      <c r="H180" s="19">
        <f ca="1">Simulation!H180</f>
        <v>105.94552584644646</v>
      </c>
      <c r="I180" s="19">
        <f>Inputs!$D$13</f>
        <v>100</v>
      </c>
      <c r="J180" s="19">
        <f ca="1">(Simulation!H180-Inputs!$D$13)/Inputs!$D$13*Inputs!$D$12</f>
        <v>59455.258464464576</v>
      </c>
      <c r="K180" s="19">
        <f t="shared" ca="1" si="4"/>
        <v>15026.822986773564</v>
      </c>
      <c r="L180" s="59">
        <f t="shared" ca="1" si="5"/>
        <v>59455.258464464576</v>
      </c>
    </row>
    <row r="181" spans="7:12">
      <c r="G181" s="58">
        <f>Simulation!E181</f>
        <v>178</v>
      </c>
      <c r="H181" s="19">
        <f ca="1">Simulation!H181</f>
        <v>105.32600711645438</v>
      </c>
      <c r="I181" s="19">
        <f>Inputs!$D$13</f>
        <v>100</v>
      </c>
      <c r="J181" s="19">
        <f ca="1">(Simulation!H181-Inputs!$D$13)/Inputs!$D$13*Inputs!$D$12</f>
        <v>53260.071164543777</v>
      </c>
      <c r="K181" s="19">
        <f t="shared" ca="1" si="4"/>
        <v>-6195.187299920799</v>
      </c>
      <c r="L181" s="59">
        <f t="shared" ca="1" si="5"/>
        <v>53260.071164543777</v>
      </c>
    </row>
    <row r="182" spans="7:12">
      <c r="G182" s="58">
        <f>Simulation!E182</f>
        <v>179</v>
      </c>
      <c r="H182" s="19">
        <f ca="1">Simulation!H182</f>
        <v>106.34468524206304</v>
      </c>
      <c r="I182" s="19">
        <f>Inputs!$D$13</f>
        <v>100</v>
      </c>
      <c r="J182" s="19">
        <f ca="1">(Simulation!H182-Inputs!$D$13)/Inputs!$D$13*Inputs!$D$12</f>
        <v>63446.852420630363</v>
      </c>
      <c r="K182" s="19">
        <f t="shared" ca="1" si="4"/>
        <v>10186.781256086586</v>
      </c>
      <c r="L182" s="59">
        <f t="shared" ca="1" si="5"/>
        <v>63446.852420630363</v>
      </c>
    </row>
    <row r="183" spans="7:12">
      <c r="G183" s="58">
        <f>Simulation!E183</f>
        <v>180</v>
      </c>
      <c r="H183" s="19">
        <f ca="1">Simulation!H183</f>
        <v>106.16135794675959</v>
      </c>
      <c r="I183" s="19">
        <f>Inputs!$D$13</f>
        <v>100</v>
      </c>
      <c r="J183" s="19">
        <f ca="1">(Simulation!H183-Inputs!$D$13)/Inputs!$D$13*Inputs!$D$12</f>
        <v>61613.579467595941</v>
      </c>
      <c r="K183" s="19">
        <f t="shared" ca="1" si="4"/>
        <v>-1833.2729530344222</v>
      </c>
      <c r="L183" s="59">
        <f t="shared" ca="1" si="5"/>
        <v>61613.579467595941</v>
      </c>
    </row>
    <row r="184" spans="7:12">
      <c r="G184" s="58">
        <f>Simulation!E184</f>
        <v>181</v>
      </c>
      <c r="H184" s="19">
        <f ca="1">Simulation!H184</f>
        <v>104.30863012607631</v>
      </c>
      <c r="I184" s="19">
        <f>Inputs!$D$13</f>
        <v>100</v>
      </c>
      <c r="J184" s="19">
        <f ca="1">(Simulation!H184-Inputs!$D$13)/Inputs!$D$13*Inputs!$D$12</f>
        <v>43086.301260763095</v>
      </c>
      <c r="K184" s="19">
        <f t="shared" ca="1" si="4"/>
        <v>-18527.278206832845</v>
      </c>
      <c r="L184" s="59">
        <f t="shared" ca="1" si="5"/>
        <v>43086.301260763095</v>
      </c>
    </row>
    <row r="185" spans="7:12">
      <c r="G185" s="58">
        <f>Simulation!E185</f>
        <v>182</v>
      </c>
      <c r="H185" s="19">
        <f ca="1">Simulation!H185</f>
        <v>105.67292424073753</v>
      </c>
      <c r="I185" s="19">
        <f>Inputs!$D$13</f>
        <v>100</v>
      </c>
      <c r="J185" s="19">
        <f ca="1">(Simulation!H185-Inputs!$D$13)/Inputs!$D$13*Inputs!$D$12</f>
        <v>56729.242407375292</v>
      </c>
      <c r="K185" s="19">
        <f t="shared" ca="1" si="4"/>
        <v>13642.941146612196</v>
      </c>
      <c r="L185" s="59">
        <f t="shared" ca="1" si="5"/>
        <v>56729.242407375292</v>
      </c>
    </row>
    <row r="186" spans="7:12">
      <c r="G186" s="58">
        <f>Simulation!E186</f>
        <v>183</v>
      </c>
      <c r="H186" s="19">
        <f ca="1">Simulation!H186</f>
        <v>105.65837858435572</v>
      </c>
      <c r="I186" s="19">
        <f>Inputs!$D$13</f>
        <v>100</v>
      </c>
      <c r="J186" s="19">
        <f ca="1">(Simulation!H186-Inputs!$D$13)/Inputs!$D$13*Inputs!$D$12</f>
        <v>56583.785843557169</v>
      </c>
      <c r="K186" s="19">
        <f t="shared" ca="1" si="4"/>
        <v>-145.45656381812296</v>
      </c>
      <c r="L186" s="59">
        <f t="shared" ca="1" si="5"/>
        <v>56583.785843557169</v>
      </c>
    </row>
    <row r="187" spans="7:12">
      <c r="G187" s="58">
        <f>Simulation!E187</f>
        <v>184</v>
      </c>
      <c r="H187" s="19">
        <f ca="1">Simulation!H187</f>
        <v>106.4576281507679</v>
      </c>
      <c r="I187" s="19">
        <f>Inputs!$D$13</f>
        <v>100</v>
      </c>
      <c r="J187" s="19">
        <f ca="1">(Simulation!H187-Inputs!$D$13)/Inputs!$D$13*Inputs!$D$12</f>
        <v>64576.281507679021</v>
      </c>
      <c r="K187" s="19">
        <f t="shared" ca="1" si="4"/>
        <v>7992.4956641218523</v>
      </c>
      <c r="L187" s="59">
        <f t="shared" ca="1" si="5"/>
        <v>64576.281507679021</v>
      </c>
    </row>
    <row r="188" spans="7:12">
      <c r="G188" s="58">
        <f>Simulation!E188</f>
        <v>185</v>
      </c>
      <c r="H188" s="19">
        <f ca="1">Simulation!H188</f>
        <v>107.46041912823465</v>
      </c>
      <c r="I188" s="19">
        <f>Inputs!$D$13</f>
        <v>100</v>
      </c>
      <c r="J188" s="19">
        <f ca="1">(Simulation!H188-Inputs!$D$13)/Inputs!$D$13*Inputs!$D$12</f>
        <v>74604.191282346481</v>
      </c>
      <c r="K188" s="19">
        <f t="shared" ca="1" si="4"/>
        <v>10027.90977466746</v>
      </c>
      <c r="L188" s="59">
        <f t="shared" ca="1" si="5"/>
        <v>74604.191282346481</v>
      </c>
    </row>
    <row r="189" spans="7:12">
      <c r="G189" s="58">
        <f>Simulation!E189</f>
        <v>186</v>
      </c>
      <c r="H189" s="19">
        <f ca="1">Simulation!H189</f>
        <v>107.04177510846058</v>
      </c>
      <c r="I189" s="19">
        <f>Inputs!$D$13</f>
        <v>100</v>
      </c>
      <c r="J189" s="19">
        <f ca="1">(Simulation!H189-Inputs!$D$13)/Inputs!$D$13*Inputs!$D$12</f>
        <v>70417.751084605843</v>
      </c>
      <c r="K189" s="19">
        <f t="shared" ca="1" si="4"/>
        <v>-4186.4401977406378</v>
      </c>
      <c r="L189" s="59">
        <f t="shared" ca="1" si="5"/>
        <v>70417.751084605843</v>
      </c>
    </row>
    <row r="190" spans="7:12">
      <c r="G190" s="58">
        <f>Simulation!E190</f>
        <v>187</v>
      </c>
      <c r="H190" s="19">
        <f ca="1">Simulation!H190</f>
        <v>105.32306241948741</v>
      </c>
      <c r="I190" s="19">
        <f>Inputs!$D$13</f>
        <v>100</v>
      </c>
      <c r="J190" s="19">
        <f ca="1">(Simulation!H190-Inputs!$D$13)/Inputs!$D$13*Inputs!$D$12</f>
        <v>53230.624194874144</v>
      </c>
      <c r="K190" s="19">
        <f t="shared" ca="1" si="4"/>
        <v>-17187.126889731699</v>
      </c>
      <c r="L190" s="59">
        <f t="shared" ca="1" si="5"/>
        <v>53230.624194874144</v>
      </c>
    </row>
    <row r="191" spans="7:12">
      <c r="G191" s="58">
        <f>Simulation!E191</f>
        <v>188</v>
      </c>
      <c r="H191" s="19">
        <f ca="1">Simulation!H191</f>
        <v>106.0646080609442</v>
      </c>
      <c r="I191" s="19">
        <f>Inputs!$D$13</f>
        <v>100</v>
      </c>
      <c r="J191" s="19">
        <f ca="1">(Simulation!H191-Inputs!$D$13)/Inputs!$D$13*Inputs!$D$12</f>
        <v>60646.080609441953</v>
      </c>
      <c r="K191" s="19">
        <f t="shared" ca="1" si="4"/>
        <v>7415.4564145678087</v>
      </c>
      <c r="L191" s="59">
        <f t="shared" ca="1" si="5"/>
        <v>60646.080609441953</v>
      </c>
    </row>
    <row r="192" spans="7:12">
      <c r="G192" s="58">
        <f>Simulation!E192</f>
        <v>189</v>
      </c>
      <c r="H192" s="19">
        <f ca="1">Simulation!H192</f>
        <v>103.60364543006536</v>
      </c>
      <c r="I192" s="19">
        <f>Inputs!$D$13</f>
        <v>100</v>
      </c>
      <c r="J192" s="19">
        <f ca="1">(Simulation!H192-Inputs!$D$13)/Inputs!$D$13*Inputs!$D$12</f>
        <v>36036.45430065356</v>
      </c>
      <c r="K192" s="19">
        <f t="shared" ca="1" si="4"/>
        <v>-24609.626308788393</v>
      </c>
      <c r="L192" s="59">
        <f t="shared" ca="1" si="5"/>
        <v>36036.45430065356</v>
      </c>
    </row>
    <row r="193" spans="7:12">
      <c r="G193" s="58">
        <f>Simulation!E193</f>
        <v>190</v>
      </c>
      <c r="H193" s="19">
        <f ca="1">Simulation!H193</f>
        <v>103.21203662019767</v>
      </c>
      <c r="I193" s="19">
        <f>Inputs!$D$13</f>
        <v>100</v>
      </c>
      <c r="J193" s="19">
        <f ca="1">(Simulation!H193-Inputs!$D$13)/Inputs!$D$13*Inputs!$D$12</f>
        <v>32120.366201976649</v>
      </c>
      <c r="K193" s="19">
        <f t="shared" ca="1" si="4"/>
        <v>-3916.0880986769116</v>
      </c>
      <c r="L193" s="59">
        <f t="shared" ca="1" si="5"/>
        <v>32120.366201976649</v>
      </c>
    </row>
    <row r="194" spans="7:12">
      <c r="G194" s="58">
        <f>Simulation!E194</f>
        <v>191</v>
      </c>
      <c r="H194" s="19">
        <f ca="1">Simulation!H194</f>
        <v>104.33852557864169</v>
      </c>
      <c r="I194" s="19">
        <f>Inputs!$D$13</f>
        <v>100</v>
      </c>
      <c r="J194" s="19">
        <f ca="1">(Simulation!H194-Inputs!$D$13)/Inputs!$D$13*Inputs!$D$12</f>
        <v>43385.255786416936</v>
      </c>
      <c r="K194" s="19">
        <f t="shared" ca="1" si="4"/>
        <v>11264.889584440287</v>
      </c>
      <c r="L194" s="59">
        <f t="shared" ca="1" si="5"/>
        <v>43385.255786416936</v>
      </c>
    </row>
    <row r="195" spans="7:12">
      <c r="G195" s="58">
        <f>Simulation!E195</f>
        <v>192</v>
      </c>
      <c r="H195" s="19">
        <f ca="1">Simulation!H195</f>
        <v>103.72978129978979</v>
      </c>
      <c r="I195" s="19">
        <f>Inputs!$D$13</f>
        <v>100</v>
      </c>
      <c r="J195" s="19">
        <f ca="1">(Simulation!H195-Inputs!$D$13)/Inputs!$D$13*Inputs!$D$12</f>
        <v>37297.812997897927</v>
      </c>
      <c r="K195" s="19">
        <f t="shared" ca="1" si="4"/>
        <v>-6087.4427885190089</v>
      </c>
      <c r="L195" s="59">
        <f t="shared" ca="1" si="5"/>
        <v>37297.812997897927</v>
      </c>
    </row>
    <row r="196" spans="7:12">
      <c r="G196" s="58">
        <f>Simulation!E196</f>
        <v>193</v>
      </c>
      <c r="H196" s="19">
        <f ca="1">Simulation!H196</f>
        <v>104.34078156792393</v>
      </c>
      <c r="I196" s="19">
        <f>Inputs!$D$13</f>
        <v>100</v>
      </c>
      <c r="J196" s="19">
        <f ca="1">(Simulation!H196-Inputs!$D$13)/Inputs!$D$13*Inputs!$D$12</f>
        <v>43407.815679239262</v>
      </c>
      <c r="K196" s="19">
        <f t="shared" ca="1" si="4"/>
        <v>6110.0026813413351</v>
      </c>
      <c r="L196" s="59">
        <f t="shared" ca="1" si="5"/>
        <v>43407.815679239262</v>
      </c>
    </row>
    <row r="197" spans="7:12">
      <c r="G197" s="58">
        <f>Simulation!E197</f>
        <v>194</v>
      </c>
      <c r="H197" s="19">
        <f ca="1">Simulation!H197</f>
        <v>105.29496261535169</v>
      </c>
      <c r="I197" s="19">
        <f>Inputs!$D$13</f>
        <v>100</v>
      </c>
      <c r="J197" s="19">
        <f ca="1">(Simulation!H197-Inputs!$D$13)/Inputs!$D$13*Inputs!$D$12</f>
        <v>52949.626153516925</v>
      </c>
      <c r="K197" s="19">
        <f t="shared" ref="K197:K255" ca="1" si="6">J197-J196</f>
        <v>9541.8104742776632</v>
      </c>
      <c r="L197" s="59">
        <f t="shared" ref="L197:L255" ca="1" si="7">+L196+K197</f>
        <v>52949.626153516925</v>
      </c>
    </row>
    <row r="198" spans="7:12">
      <c r="G198" s="58">
        <f>Simulation!E198</f>
        <v>195</v>
      </c>
      <c r="H198" s="19">
        <f ca="1">Simulation!H198</f>
        <v>106.67830986963409</v>
      </c>
      <c r="I198" s="19">
        <f>Inputs!$D$13</f>
        <v>100</v>
      </c>
      <c r="J198" s="19">
        <f ca="1">(Simulation!H198-Inputs!$D$13)/Inputs!$D$13*Inputs!$D$12</f>
        <v>66783.098696340909</v>
      </c>
      <c r="K198" s="19">
        <f t="shared" ca="1" si="6"/>
        <v>13833.472542823984</v>
      </c>
      <c r="L198" s="59">
        <f t="shared" ca="1" si="7"/>
        <v>66783.098696340909</v>
      </c>
    </row>
    <row r="199" spans="7:12">
      <c r="G199" s="58">
        <f>Simulation!E199</f>
        <v>196</v>
      </c>
      <c r="H199" s="19">
        <f ca="1">Simulation!H199</f>
        <v>108.32657653676479</v>
      </c>
      <c r="I199" s="19">
        <f>Inputs!$D$13</f>
        <v>100</v>
      </c>
      <c r="J199" s="19">
        <f ca="1">(Simulation!H199-Inputs!$D$13)/Inputs!$D$13*Inputs!$D$12</f>
        <v>83265.765367647909</v>
      </c>
      <c r="K199" s="19">
        <f t="shared" ca="1" si="6"/>
        <v>16482.666671307001</v>
      </c>
      <c r="L199" s="59">
        <f t="shared" ca="1" si="7"/>
        <v>83265.765367647909</v>
      </c>
    </row>
    <row r="200" spans="7:12">
      <c r="G200" s="58">
        <f>Simulation!E200</f>
        <v>197</v>
      </c>
      <c r="H200" s="19">
        <f ca="1">Simulation!H200</f>
        <v>107.47095838095444</v>
      </c>
      <c r="I200" s="19">
        <f>Inputs!$D$13</f>
        <v>100</v>
      </c>
      <c r="J200" s="19">
        <f ca="1">(Simulation!H200-Inputs!$D$13)/Inputs!$D$13*Inputs!$D$12</f>
        <v>74709.583809544434</v>
      </c>
      <c r="K200" s="19">
        <f t="shared" ca="1" si="6"/>
        <v>-8556.1815581034753</v>
      </c>
      <c r="L200" s="59">
        <f t="shared" ca="1" si="7"/>
        <v>74709.583809544434</v>
      </c>
    </row>
    <row r="201" spans="7:12">
      <c r="G201" s="58">
        <f>Simulation!E201</f>
        <v>198</v>
      </c>
      <c r="H201" s="19">
        <f ca="1">Simulation!H201</f>
        <v>108.37422220317383</v>
      </c>
      <c r="I201" s="19">
        <f>Inputs!$D$13</f>
        <v>100</v>
      </c>
      <c r="J201" s="19">
        <f ca="1">(Simulation!H201-Inputs!$D$13)/Inputs!$D$13*Inputs!$D$12</f>
        <v>83742.222031738303</v>
      </c>
      <c r="K201" s="19">
        <f t="shared" ca="1" si="6"/>
        <v>9032.6382221938693</v>
      </c>
      <c r="L201" s="59">
        <f t="shared" ca="1" si="7"/>
        <v>83742.222031738303</v>
      </c>
    </row>
    <row r="202" spans="7:12">
      <c r="G202" s="58">
        <f>Simulation!E202</f>
        <v>199</v>
      </c>
      <c r="H202" s="19">
        <f ca="1">Simulation!H202</f>
        <v>110.17652566131889</v>
      </c>
      <c r="I202" s="19">
        <f>Inputs!$D$13</f>
        <v>100</v>
      </c>
      <c r="J202" s="19">
        <f ca="1">(Simulation!H202-Inputs!$D$13)/Inputs!$D$13*Inputs!$D$12</f>
        <v>101765.25661318892</v>
      </c>
      <c r="K202" s="19">
        <f t="shared" ca="1" si="6"/>
        <v>18023.034581450614</v>
      </c>
      <c r="L202" s="59">
        <f t="shared" ca="1" si="7"/>
        <v>101765.25661318892</v>
      </c>
    </row>
    <row r="203" spans="7:12">
      <c r="G203" s="58">
        <f>Simulation!E203</f>
        <v>200</v>
      </c>
      <c r="H203" s="19">
        <f ca="1">Simulation!H203</f>
        <v>110.53389689884399</v>
      </c>
      <c r="I203" s="19">
        <f>Inputs!$D$13</f>
        <v>100</v>
      </c>
      <c r="J203" s="19">
        <f ca="1">(Simulation!H203-Inputs!$D$13)/Inputs!$D$13*Inputs!$D$12</f>
        <v>105338.96898843991</v>
      </c>
      <c r="K203" s="19">
        <f t="shared" ca="1" si="6"/>
        <v>3573.7123752509942</v>
      </c>
      <c r="L203" s="59">
        <f t="shared" ca="1" si="7"/>
        <v>105338.96898843991</v>
      </c>
    </row>
    <row r="204" spans="7:12">
      <c r="G204" s="58">
        <f>Simulation!E204</f>
        <v>201</v>
      </c>
      <c r="H204" s="19">
        <f ca="1">Simulation!H204</f>
        <v>112.70798140130178</v>
      </c>
      <c r="I204" s="19">
        <f>Inputs!$D$13</f>
        <v>100</v>
      </c>
      <c r="J204" s="19">
        <f ca="1">(Simulation!H204-Inputs!$D$13)/Inputs!$D$13*Inputs!$D$12</f>
        <v>127079.81401301779</v>
      </c>
      <c r="K204" s="19">
        <f t="shared" ca="1" si="6"/>
        <v>21740.84502457788</v>
      </c>
      <c r="L204" s="59">
        <f t="shared" ca="1" si="7"/>
        <v>127079.81401301779</v>
      </c>
    </row>
    <row r="205" spans="7:12">
      <c r="G205" s="58">
        <f>Simulation!E205</f>
        <v>202</v>
      </c>
      <c r="H205" s="19">
        <f ca="1">Simulation!H205</f>
        <v>112.24665694508759</v>
      </c>
      <c r="I205" s="19">
        <f>Inputs!$D$13</f>
        <v>100</v>
      </c>
      <c r="J205" s="19">
        <f ca="1">(Simulation!H205-Inputs!$D$13)/Inputs!$D$13*Inputs!$D$12</f>
        <v>122466.56945087593</v>
      </c>
      <c r="K205" s="19">
        <f t="shared" ca="1" si="6"/>
        <v>-4613.2445621418592</v>
      </c>
      <c r="L205" s="59">
        <f t="shared" ca="1" si="7"/>
        <v>122466.56945087593</v>
      </c>
    </row>
    <row r="206" spans="7:12">
      <c r="G206" s="58">
        <f>Simulation!E206</f>
        <v>203</v>
      </c>
      <c r="H206" s="19">
        <f ca="1">Simulation!H206</f>
        <v>111.02129958041684</v>
      </c>
      <c r="I206" s="19">
        <f>Inputs!$D$13</f>
        <v>100</v>
      </c>
      <c r="J206" s="19">
        <f ca="1">(Simulation!H206-Inputs!$D$13)/Inputs!$D$13*Inputs!$D$12</f>
        <v>110212.99580416839</v>
      </c>
      <c r="K206" s="19">
        <f t="shared" ca="1" si="6"/>
        <v>-12253.573646707548</v>
      </c>
      <c r="L206" s="59">
        <f t="shared" ca="1" si="7"/>
        <v>110212.99580416839</v>
      </c>
    </row>
    <row r="207" spans="7:12">
      <c r="G207" s="58">
        <f>Simulation!E207</f>
        <v>204</v>
      </c>
      <c r="H207" s="19">
        <f ca="1">Simulation!H207</f>
        <v>109.20671207973339</v>
      </c>
      <c r="I207" s="19">
        <f>Inputs!$D$13</f>
        <v>100</v>
      </c>
      <c r="J207" s="19">
        <f ca="1">(Simulation!H207-Inputs!$D$13)/Inputs!$D$13*Inputs!$D$12</f>
        <v>92067.120797333919</v>
      </c>
      <c r="K207" s="19">
        <f t="shared" ca="1" si="6"/>
        <v>-18145.875006834467</v>
      </c>
      <c r="L207" s="59">
        <f t="shared" ca="1" si="7"/>
        <v>92067.120797333919</v>
      </c>
    </row>
    <row r="208" spans="7:12">
      <c r="G208" s="58">
        <f>Simulation!E208</f>
        <v>205</v>
      </c>
      <c r="H208" s="19">
        <f ca="1">Simulation!H208</f>
        <v>109.67283312069766</v>
      </c>
      <c r="I208" s="19">
        <f>Inputs!$D$13</f>
        <v>100</v>
      </c>
      <c r="J208" s="19">
        <f ca="1">(Simulation!H208-Inputs!$D$13)/Inputs!$D$13*Inputs!$D$12</f>
        <v>96728.331206976596</v>
      </c>
      <c r="K208" s="19">
        <f t="shared" ca="1" si="6"/>
        <v>4661.2104096426774</v>
      </c>
      <c r="L208" s="59">
        <f t="shared" ca="1" si="7"/>
        <v>96728.331206976596</v>
      </c>
    </row>
    <row r="209" spans="7:12">
      <c r="G209" s="58">
        <f>Simulation!E209</f>
        <v>206</v>
      </c>
      <c r="H209" s="19">
        <f ca="1">Simulation!H209</f>
        <v>113.16256570563485</v>
      </c>
      <c r="I209" s="19">
        <f>Inputs!$D$13</f>
        <v>100</v>
      </c>
      <c r="J209" s="19">
        <f ca="1">(Simulation!H209-Inputs!$D$13)/Inputs!$D$13*Inputs!$D$12</f>
        <v>131625.65705634846</v>
      </c>
      <c r="K209" s="19">
        <f t="shared" ca="1" si="6"/>
        <v>34897.32584937186</v>
      </c>
      <c r="L209" s="59">
        <f t="shared" ca="1" si="7"/>
        <v>131625.65705634846</v>
      </c>
    </row>
    <row r="210" spans="7:12">
      <c r="G210" s="58">
        <f>Simulation!E210</f>
        <v>207</v>
      </c>
      <c r="H210" s="19">
        <f ca="1">Simulation!H210</f>
        <v>113.09156460671551</v>
      </c>
      <c r="I210" s="19">
        <f>Inputs!$D$13</f>
        <v>100</v>
      </c>
      <c r="J210" s="19">
        <f ca="1">(Simulation!H210-Inputs!$D$13)/Inputs!$D$13*Inputs!$D$12</f>
        <v>130915.64606715509</v>
      </c>
      <c r="K210" s="19">
        <f t="shared" ca="1" si="6"/>
        <v>-710.010989193368</v>
      </c>
      <c r="L210" s="59">
        <f t="shared" ca="1" si="7"/>
        <v>130915.64606715509</v>
      </c>
    </row>
    <row r="211" spans="7:12">
      <c r="G211" s="58">
        <f>Simulation!E211</f>
        <v>208</v>
      </c>
      <c r="H211" s="19">
        <f ca="1">Simulation!H211</f>
        <v>112.87179883229915</v>
      </c>
      <c r="I211" s="19">
        <f>Inputs!$D$13</f>
        <v>100</v>
      </c>
      <c r="J211" s="19">
        <f ca="1">(Simulation!H211-Inputs!$D$13)/Inputs!$D$13*Inputs!$D$12</f>
        <v>128717.9883229915</v>
      </c>
      <c r="K211" s="19">
        <f t="shared" ca="1" si="6"/>
        <v>-2197.6577441635891</v>
      </c>
      <c r="L211" s="59">
        <f t="shared" ca="1" si="7"/>
        <v>128717.9883229915</v>
      </c>
    </row>
    <row r="212" spans="7:12">
      <c r="G212" s="58">
        <f>Simulation!E212</f>
        <v>209</v>
      </c>
      <c r="H212" s="19">
        <f ca="1">Simulation!H212</f>
        <v>114.84968066441584</v>
      </c>
      <c r="I212" s="19">
        <f>Inputs!$D$13</f>
        <v>100</v>
      </c>
      <c r="J212" s="19">
        <f ca="1">(Simulation!H212-Inputs!$D$13)/Inputs!$D$13*Inputs!$D$12</f>
        <v>148496.80664415844</v>
      </c>
      <c r="K212" s="19">
        <f t="shared" ca="1" si="6"/>
        <v>19778.818321166938</v>
      </c>
      <c r="L212" s="59">
        <f t="shared" ca="1" si="7"/>
        <v>148496.80664415844</v>
      </c>
    </row>
    <row r="213" spans="7:12">
      <c r="G213" s="58">
        <f>Simulation!E213</f>
        <v>210</v>
      </c>
      <c r="H213" s="19">
        <f ca="1">Simulation!H213</f>
        <v>115.79505607470227</v>
      </c>
      <c r="I213" s="19">
        <f>Inputs!$D$13</f>
        <v>100</v>
      </c>
      <c r="J213" s="19">
        <f ca="1">(Simulation!H213-Inputs!$D$13)/Inputs!$D$13*Inputs!$D$12</f>
        <v>157950.56074702274</v>
      </c>
      <c r="K213" s="19">
        <f t="shared" ca="1" si="6"/>
        <v>9453.7541028643027</v>
      </c>
      <c r="L213" s="59">
        <f t="shared" ca="1" si="7"/>
        <v>157950.56074702274</v>
      </c>
    </row>
    <row r="214" spans="7:12">
      <c r="G214" s="58">
        <f>Simulation!E214</f>
        <v>211</v>
      </c>
      <c r="H214" s="19">
        <f ca="1">Simulation!H214</f>
        <v>118.08271795721149</v>
      </c>
      <c r="I214" s="19">
        <f>Inputs!$D$13</f>
        <v>100</v>
      </c>
      <c r="J214" s="19">
        <f ca="1">(Simulation!H214-Inputs!$D$13)/Inputs!$D$13*Inputs!$D$12</f>
        <v>180827.17957211487</v>
      </c>
      <c r="K214" s="19">
        <f t="shared" ca="1" si="6"/>
        <v>22876.618825092126</v>
      </c>
      <c r="L214" s="59">
        <f t="shared" ca="1" si="7"/>
        <v>180827.17957211487</v>
      </c>
    </row>
    <row r="215" spans="7:12">
      <c r="G215" s="58">
        <f>Simulation!E215</f>
        <v>212</v>
      </c>
      <c r="H215" s="19">
        <f ca="1">Simulation!H215</f>
        <v>117.88262801820801</v>
      </c>
      <c r="I215" s="19">
        <f>Inputs!$D$13</f>
        <v>100</v>
      </c>
      <c r="J215" s="19">
        <f ca="1">(Simulation!H215-Inputs!$D$13)/Inputs!$D$13*Inputs!$D$12</f>
        <v>178826.28018208011</v>
      </c>
      <c r="K215" s="19">
        <f t="shared" ca="1" si="6"/>
        <v>-2000.8993900347559</v>
      </c>
      <c r="L215" s="59">
        <f t="shared" ca="1" si="7"/>
        <v>178826.28018208011</v>
      </c>
    </row>
    <row r="216" spans="7:12">
      <c r="G216" s="58">
        <f>Simulation!E216</f>
        <v>213</v>
      </c>
      <c r="H216" s="19">
        <f ca="1">Simulation!H216</f>
        <v>117.99528056804122</v>
      </c>
      <c r="I216" s="19">
        <f>Inputs!$D$13</f>
        <v>100</v>
      </c>
      <c r="J216" s="19">
        <f ca="1">(Simulation!H216-Inputs!$D$13)/Inputs!$D$13*Inputs!$D$12</f>
        <v>179952.80568041225</v>
      </c>
      <c r="K216" s="19">
        <f t="shared" ca="1" si="6"/>
        <v>1126.5254983321356</v>
      </c>
      <c r="L216" s="59">
        <f t="shared" ca="1" si="7"/>
        <v>179952.80568041225</v>
      </c>
    </row>
    <row r="217" spans="7:12">
      <c r="G217" s="58">
        <f>Simulation!E217</f>
        <v>214</v>
      </c>
      <c r="H217" s="19">
        <f ca="1">Simulation!H217</f>
        <v>119.56447616746482</v>
      </c>
      <c r="I217" s="19">
        <f>Inputs!$D$13</f>
        <v>100</v>
      </c>
      <c r="J217" s="19">
        <f ca="1">(Simulation!H217-Inputs!$D$13)/Inputs!$D$13*Inputs!$D$12</f>
        <v>195644.76167464818</v>
      </c>
      <c r="K217" s="19">
        <f t="shared" ca="1" si="6"/>
        <v>15691.955994235934</v>
      </c>
      <c r="L217" s="59">
        <f t="shared" ca="1" si="7"/>
        <v>195644.76167464818</v>
      </c>
    </row>
    <row r="218" spans="7:12">
      <c r="G218" s="58">
        <f>Simulation!E218</f>
        <v>215</v>
      </c>
      <c r="H218" s="19">
        <f ca="1">Simulation!H218</f>
        <v>120.53320356951384</v>
      </c>
      <c r="I218" s="19">
        <f>Inputs!$D$13</f>
        <v>100</v>
      </c>
      <c r="J218" s="19">
        <f ca="1">(Simulation!H218-Inputs!$D$13)/Inputs!$D$13*Inputs!$D$12</f>
        <v>205332.03569513845</v>
      </c>
      <c r="K218" s="19">
        <f t="shared" ca="1" si="6"/>
        <v>9687.2740204902657</v>
      </c>
      <c r="L218" s="59">
        <f t="shared" ca="1" si="7"/>
        <v>205332.03569513845</v>
      </c>
    </row>
    <row r="219" spans="7:12">
      <c r="G219" s="58">
        <f>Simulation!E219</f>
        <v>216</v>
      </c>
      <c r="H219" s="19">
        <f ca="1">Simulation!H219</f>
        <v>120.77789184409383</v>
      </c>
      <c r="I219" s="19">
        <f>Inputs!$D$13</f>
        <v>100</v>
      </c>
      <c r="J219" s="19">
        <f ca="1">(Simulation!H219-Inputs!$D$13)/Inputs!$D$13*Inputs!$D$12</f>
        <v>207778.91844093829</v>
      </c>
      <c r="K219" s="19">
        <f t="shared" ca="1" si="6"/>
        <v>2446.8827457998414</v>
      </c>
      <c r="L219" s="59">
        <f t="shared" ca="1" si="7"/>
        <v>207778.91844093829</v>
      </c>
    </row>
    <row r="220" spans="7:12">
      <c r="G220" s="58">
        <f>Simulation!E220</f>
        <v>217</v>
      </c>
      <c r="H220" s="19">
        <f ca="1">Simulation!H220</f>
        <v>122.30857573338001</v>
      </c>
      <c r="I220" s="19">
        <f>Inputs!$D$13</f>
        <v>100</v>
      </c>
      <c r="J220" s="19">
        <f ca="1">(Simulation!H220-Inputs!$D$13)/Inputs!$D$13*Inputs!$D$12</f>
        <v>223085.75733380008</v>
      </c>
      <c r="K220" s="19">
        <f t="shared" ca="1" si="6"/>
        <v>15306.838892861793</v>
      </c>
      <c r="L220" s="59">
        <f t="shared" ca="1" si="7"/>
        <v>223085.75733380008</v>
      </c>
    </row>
    <row r="221" spans="7:12">
      <c r="G221" s="58">
        <f>Simulation!E221</f>
        <v>218</v>
      </c>
      <c r="H221" s="19">
        <f ca="1">Simulation!H221</f>
        <v>123.46905040238525</v>
      </c>
      <c r="I221" s="19">
        <f>Inputs!$D$13</f>
        <v>100</v>
      </c>
      <c r="J221" s="19">
        <f ca="1">(Simulation!H221-Inputs!$D$13)/Inputs!$D$13*Inputs!$D$12</f>
        <v>234690.5040238525</v>
      </c>
      <c r="K221" s="19">
        <f t="shared" ca="1" si="6"/>
        <v>11604.746690052416</v>
      </c>
      <c r="L221" s="59">
        <f t="shared" ca="1" si="7"/>
        <v>234690.5040238525</v>
      </c>
    </row>
    <row r="222" spans="7:12">
      <c r="G222" s="58">
        <f>Simulation!E222</f>
        <v>219</v>
      </c>
      <c r="H222" s="19">
        <f ca="1">Simulation!H222</f>
        <v>125.28441528502114</v>
      </c>
      <c r="I222" s="19">
        <f>Inputs!$D$13</f>
        <v>100</v>
      </c>
      <c r="J222" s="19">
        <f ca="1">(Simulation!H222-Inputs!$D$13)/Inputs!$D$13*Inputs!$D$12</f>
        <v>252844.15285021139</v>
      </c>
      <c r="K222" s="19">
        <f t="shared" ca="1" si="6"/>
        <v>18153.648826358898</v>
      </c>
      <c r="L222" s="59">
        <f t="shared" ca="1" si="7"/>
        <v>252844.15285021139</v>
      </c>
    </row>
    <row r="223" spans="7:12">
      <c r="G223" s="58">
        <f>Simulation!E223</f>
        <v>220</v>
      </c>
      <c r="H223" s="19">
        <f ca="1">Simulation!H223</f>
        <v>123.52213856627564</v>
      </c>
      <c r="I223" s="19">
        <f>Inputs!$D$13</f>
        <v>100</v>
      </c>
      <c r="J223" s="19">
        <f ca="1">(Simulation!H223-Inputs!$D$13)/Inputs!$D$13*Inputs!$D$12</f>
        <v>235221.38566275642</v>
      </c>
      <c r="K223" s="19">
        <f t="shared" ca="1" si="6"/>
        <v>-17622.767187454971</v>
      </c>
      <c r="L223" s="59">
        <f t="shared" ca="1" si="7"/>
        <v>235221.38566275642</v>
      </c>
    </row>
    <row r="224" spans="7:12">
      <c r="G224" s="58">
        <f>Simulation!E224</f>
        <v>221</v>
      </c>
      <c r="H224" s="19">
        <f ca="1">Simulation!H224</f>
        <v>121.15911880133334</v>
      </c>
      <c r="I224" s="19">
        <f>Inputs!$D$13</f>
        <v>100</v>
      </c>
      <c r="J224" s="19">
        <f ca="1">(Simulation!H224-Inputs!$D$13)/Inputs!$D$13*Inputs!$D$12</f>
        <v>211591.18801333336</v>
      </c>
      <c r="K224" s="19">
        <f t="shared" ca="1" si="6"/>
        <v>-23630.197649423062</v>
      </c>
      <c r="L224" s="59">
        <f t="shared" ca="1" si="7"/>
        <v>211591.18801333336</v>
      </c>
    </row>
    <row r="225" spans="7:12">
      <c r="G225" s="58">
        <f>Simulation!E225</f>
        <v>222</v>
      </c>
      <c r="H225" s="19">
        <f ca="1">Simulation!H225</f>
        <v>120.36228900585027</v>
      </c>
      <c r="I225" s="19">
        <f>Inputs!$D$13</f>
        <v>100</v>
      </c>
      <c r="J225" s="19">
        <f ca="1">(Simulation!H225-Inputs!$D$13)/Inputs!$D$13*Inputs!$D$12</f>
        <v>203622.89005850273</v>
      </c>
      <c r="K225" s="19">
        <f t="shared" ca="1" si="6"/>
        <v>-7968.2979548306321</v>
      </c>
      <c r="L225" s="59">
        <f t="shared" ca="1" si="7"/>
        <v>203622.89005850273</v>
      </c>
    </row>
    <row r="226" spans="7:12">
      <c r="G226" s="58">
        <f>Simulation!E226</f>
        <v>223</v>
      </c>
      <c r="H226" s="19">
        <f ca="1">Simulation!H226</f>
        <v>120.4580546593572</v>
      </c>
      <c r="I226" s="19">
        <f>Inputs!$D$13</f>
        <v>100</v>
      </c>
      <c r="J226" s="19">
        <f ca="1">(Simulation!H226-Inputs!$D$13)/Inputs!$D$13*Inputs!$D$12</f>
        <v>204580.54659357201</v>
      </c>
      <c r="K226" s="19">
        <f t="shared" ca="1" si="6"/>
        <v>957.65653506928356</v>
      </c>
      <c r="L226" s="59">
        <f t="shared" ca="1" si="7"/>
        <v>204580.54659357201</v>
      </c>
    </row>
    <row r="227" spans="7:12">
      <c r="G227" s="58">
        <f>Simulation!E227</f>
        <v>224</v>
      </c>
      <c r="H227" s="19">
        <f ca="1">Simulation!H227</f>
        <v>120.66612058845246</v>
      </c>
      <c r="I227" s="19">
        <f>Inputs!$D$13</f>
        <v>100</v>
      </c>
      <c r="J227" s="19">
        <f ca="1">(Simulation!H227-Inputs!$D$13)/Inputs!$D$13*Inputs!$D$12</f>
        <v>206661.20588452459</v>
      </c>
      <c r="K227" s="19">
        <f t="shared" ca="1" si="6"/>
        <v>2080.6592909525789</v>
      </c>
      <c r="L227" s="59">
        <f t="shared" ca="1" si="7"/>
        <v>206661.20588452459</v>
      </c>
    </row>
    <row r="228" spans="7:12">
      <c r="G228" s="58">
        <f>Simulation!E228</f>
        <v>225</v>
      </c>
      <c r="H228" s="19">
        <f ca="1">Simulation!H228</f>
        <v>123.0780852718643</v>
      </c>
      <c r="I228" s="19">
        <f>Inputs!$D$13</f>
        <v>100</v>
      </c>
      <c r="J228" s="19">
        <f ca="1">(Simulation!H228-Inputs!$D$13)/Inputs!$D$13*Inputs!$D$12</f>
        <v>230780.85271864297</v>
      </c>
      <c r="K228" s="19">
        <f t="shared" ca="1" si="6"/>
        <v>24119.646834118379</v>
      </c>
      <c r="L228" s="59">
        <f t="shared" ca="1" si="7"/>
        <v>230780.85271864297</v>
      </c>
    </row>
    <row r="229" spans="7:12">
      <c r="G229" s="58">
        <f>Simulation!E229</f>
        <v>226</v>
      </c>
      <c r="H229" s="19">
        <f ca="1">Simulation!H229</f>
        <v>125.91871819705091</v>
      </c>
      <c r="I229" s="19">
        <f>Inputs!$D$13</f>
        <v>100</v>
      </c>
      <c r="J229" s="19">
        <f ca="1">(Simulation!H229-Inputs!$D$13)/Inputs!$D$13*Inputs!$D$12</f>
        <v>259187.18197050906</v>
      </c>
      <c r="K229" s="19">
        <f t="shared" ca="1" si="6"/>
        <v>28406.329251866089</v>
      </c>
      <c r="L229" s="59">
        <f t="shared" ca="1" si="7"/>
        <v>259187.18197050906</v>
      </c>
    </row>
    <row r="230" spans="7:12">
      <c r="G230" s="58">
        <f>Simulation!E230</f>
        <v>227</v>
      </c>
      <c r="H230" s="19">
        <f ca="1">Simulation!H230</f>
        <v>128.18877104155953</v>
      </c>
      <c r="I230" s="19">
        <f>Inputs!$D$13</f>
        <v>100</v>
      </c>
      <c r="J230" s="19">
        <f ca="1">(Simulation!H230-Inputs!$D$13)/Inputs!$D$13*Inputs!$D$12</f>
        <v>281887.71041559533</v>
      </c>
      <c r="K230" s="19">
        <f t="shared" ca="1" si="6"/>
        <v>22700.528445086267</v>
      </c>
      <c r="L230" s="59">
        <f t="shared" ca="1" si="7"/>
        <v>281887.71041559533</v>
      </c>
    </row>
    <row r="231" spans="7:12">
      <c r="G231" s="58">
        <f>Simulation!E231</f>
        <v>228</v>
      </c>
      <c r="H231" s="19">
        <f ca="1">Simulation!H231</f>
        <v>128.94153644041941</v>
      </c>
      <c r="I231" s="19">
        <f>Inputs!$D$13</f>
        <v>100</v>
      </c>
      <c r="J231" s="19">
        <f ca="1">(Simulation!H231-Inputs!$D$13)/Inputs!$D$13*Inputs!$D$12</f>
        <v>289415.36440419412</v>
      </c>
      <c r="K231" s="19">
        <f t="shared" ca="1" si="6"/>
        <v>7527.6539885987877</v>
      </c>
      <c r="L231" s="59">
        <f t="shared" ca="1" si="7"/>
        <v>289415.36440419412</v>
      </c>
    </row>
    <row r="232" spans="7:12">
      <c r="G232" s="58">
        <f>Simulation!E232</f>
        <v>229</v>
      </c>
      <c r="H232" s="19">
        <f ca="1">Simulation!H232</f>
        <v>128.88062501210402</v>
      </c>
      <c r="I232" s="19">
        <f>Inputs!$D$13</f>
        <v>100</v>
      </c>
      <c r="J232" s="19">
        <f ca="1">(Simulation!H232-Inputs!$D$13)/Inputs!$D$13*Inputs!$D$12</f>
        <v>288806.25012104021</v>
      </c>
      <c r="K232" s="19">
        <f t="shared" ca="1" si="6"/>
        <v>-609.11428315390367</v>
      </c>
      <c r="L232" s="59">
        <f t="shared" ca="1" si="7"/>
        <v>288806.25012104021</v>
      </c>
    </row>
    <row r="233" spans="7:12">
      <c r="G233" s="58">
        <f>Simulation!E233</f>
        <v>230</v>
      </c>
      <c r="H233" s="19">
        <f ca="1">Simulation!H233</f>
        <v>128.90185753589989</v>
      </c>
      <c r="I233" s="19">
        <f>Inputs!$D$13</f>
        <v>100</v>
      </c>
      <c r="J233" s="19">
        <f ca="1">(Simulation!H233-Inputs!$D$13)/Inputs!$D$13*Inputs!$D$12</f>
        <v>289018.57535899896</v>
      </c>
      <c r="K233" s="19">
        <f t="shared" ca="1" si="6"/>
        <v>212.32523795875022</v>
      </c>
      <c r="L233" s="59">
        <f t="shared" ca="1" si="7"/>
        <v>289018.57535899896</v>
      </c>
    </row>
    <row r="234" spans="7:12">
      <c r="G234" s="58">
        <f>Simulation!E234</f>
        <v>231</v>
      </c>
      <c r="H234" s="19">
        <f ca="1">Simulation!H234</f>
        <v>130.15139990496837</v>
      </c>
      <c r="I234" s="19">
        <f>Inputs!$D$13</f>
        <v>100</v>
      </c>
      <c r="J234" s="19">
        <f ca="1">(Simulation!H234-Inputs!$D$13)/Inputs!$D$13*Inputs!$D$12</f>
        <v>301513.99904968374</v>
      </c>
      <c r="K234" s="19">
        <f t="shared" ca="1" si="6"/>
        <v>12495.42369068478</v>
      </c>
      <c r="L234" s="59">
        <f t="shared" ca="1" si="7"/>
        <v>301513.99904968374</v>
      </c>
    </row>
    <row r="235" spans="7:12">
      <c r="G235" s="58">
        <f>Simulation!E235</f>
        <v>232</v>
      </c>
      <c r="H235" s="19">
        <f ca="1">Simulation!H235</f>
        <v>126.57200445380874</v>
      </c>
      <c r="I235" s="19">
        <f>Inputs!$D$13</f>
        <v>100</v>
      </c>
      <c r="J235" s="19">
        <f ca="1">(Simulation!H235-Inputs!$D$13)/Inputs!$D$13*Inputs!$D$12</f>
        <v>265720.04453808744</v>
      </c>
      <c r="K235" s="19">
        <f t="shared" ca="1" si="6"/>
        <v>-35793.954511596297</v>
      </c>
      <c r="L235" s="59">
        <f t="shared" ca="1" si="7"/>
        <v>265720.04453808744</v>
      </c>
    </row>
    <row r="236" spans="7:12">
      <c r="G236" s="58">
        <f>Simulation!E236</f>
        <v>233</v>
      </c>
      <c r="H236" s="19">
        <f ca="1">Simulation!H236</f>
        <v>128.48382165039317</v>
      </c>
      <c r="I236" s="19">
        <f>Inputs!$D$13</f>
        <v>100</v>
      </c>
      <c r="J236" s="19">
        <f ca="1">(Simulation!H236-Inputs!$D$13)/Inputs!$D$13*Inputs!$D$12</f>
        <v>284838.21650393168</v>
      </c>
      <c r="K236" s="19">
        <f t="shared" ca="1" si="6"/>
        <v>19118.171965844231</v>
      </c>
      <c r="L236" s="59">
        <f t="shared" ca="1" si="7"/>
        <v>284838.21650393168</v>
      </c>
    </row>
    <row r="237" spans="7:12">
      <c r="G237" s="58">
        <f>Simulation!E237</f>
        <v>234</v>
      </c>
      <c r="H237" s="19">
        <f ca="1">Simulation!H237</f>
        <v>127.22472001594201</v>
      </c>
      <c r="I237" s="19">
        <f>Inputs!$D$13</f>
        <v>100</v>
      </c>
      <c r="J237" s="19">
        <f ca="1">(Simulation!H237-Inputs!$D$13)/Inputs!$D$13*Inputs!$D$12</f>
        <v>272247.20015942008</v>
      </c>
      <c r="K237" s="19">
        <f t="shared" ca="1" si="6"/>
        <v>-12591.01634451159</v>
      </c>
      <c r="L237" s="59">
        <f t="shared" ca="1" si="7"/>
        <v>272247.20015942008</v>
      </c>
    </row>
    <row r="238" spans="7:12">
      <c r="G238" s="58">
        <f>Simulation!E238</f>
        <v>235</v>
      </c>
      <c r="H238" s="19">
        <f ca="1">Simulation!H238</f>
        <v>124.68801545219898</v>
      </c>
      <c r="I238" s="19">
        <f>Inputs!$D$13</f>
        <v>100</v>
      </c>
      <c r="J238" s="19">
        <f ca="1">(Simulation!H238-Inputs!$D$13)/Inputs!$D$13*Inputs!$D$12</f>
        <v>246880.15452198984</v>
      </c>
      <c r="K238" s="19">
        <f t="shared" ca="1" si="6"/>
        <v>-25367.045637430245</v>
      </c>
      <c r="L238" s="59">
        <f t="shared" ca="1" si="7"/>
        <v>246880.15452198984</v>
      </c>
    </row>
    <row r="239" spans="7:12">
      <c r="G239" s="58">
        <f>Simulation!E239</f>
        <v>236</v>
      </c>
      <c r="H239" s="19">
        <f ca="1">Simulation!H239</f>
        <v>124.33150524184697</v>
      </c>
      <c r="I239" s="19">
        <f>Inputs!$D$13</f>
        <v>100</v>
      </c>
      <c r="J239" s="19">
        <f ca="1">(Simulation!H239-Inputs!$D$13)/Inputs!$D$13*Inputs!$D$12</f>
        <v>243315.05241846968</v>
      </c>
      <c r="K239" s="19">
        <f t="shared" ca="1" si="6"/>
        <v>-3565.1021035201557</v>
      </c>
      <c r="L239" s="59">
        <f t="shared" ca="1" si="7"/>
        <v>243315.05241846968</v>
      </c>
    </row>
    <row r="240" spans="7:12">
      <c r="G240" s="58">
        <f>Simulation!E240</f>
        <v>237</v>
      </c>
      <c r="H240" s="19">
        <f ca="1">Simulation!H240</f>
        <v>121.80903107929669</v>
      </c>
      <c r="I240" s="19">
        <f>Inputs!$D$13</f>
        <v>100</v>
      </c>
      <c r="J240" s="19">
        <f ca="1">(Simulation!H240-Inputs!$D$13)/Inputs!$D$13*Inputs!$D$12</f>
        <v>218090.31079296686</v>
      </c>
      <c r="K240" s="19">
        <f t="shared" ca="1" si="6"/>
        <v>-25224.741625502822</v>
      </c>
      <c r="L240" s="59">
        <f t="shared" ca="1" si="7"/>
        <v>218090.31079296686</v>
      </c>
    </row>
    <row r="241" spans="7:12">
      <c r="G241" s="58">
        <f>Simulation!E241</f>
        <v>238</v>
      </c>
      <c r="H241" s="19">
        <f ca="1">Simulation!H241</f>
        <v>121.34729487766747</v>
      </c>
      <c r="I241" s="19">
        <f>Inputs!$D$13</f>
        <v>100</v>
      </c>
      <c r="J241" s="19">
        <f ca="1">(Simulation!H241-Inputs!$D$13)/Inputs!$D$13*Inputs!$D$12</f>
        <v>213472.94877667466</v>
      </c>
      <c r="K241" s="19">
        <f t="shared" ca="1" si="6"/>
        <v>-4617.3620162922016</v>
      </c>
      <c r="L241" s="59">
        <f t="shared" ca="1" si="7"/>
        <v>213472.94877667466</v>
      </c>
    </row>
    <row r="242" spans="7:12">
      <c r="G242" s="58">
        <f>Simulation!E242</f>
        <v>239</v>
      </c>
      <c r="H242" s="19">
        <f ca="1">Simulation!H242</f>
        <v>118.28806170802561</v>
      </c>
      <c r="I242" s="19">
        <f>Inputs!$D$13</f>
        <v>100</v>
      </c>
      <c r="J242" s="19">
        <f ca="1">(Simulation!H242-Inputs!$D$13)/Inputs!$D$13*Inputs!$D$12</f>
        <v>182880.61708025608</v>
      </c>
      <c r="K242" s="19">
        <f t="shared" ca="1" si="6"/>
        <v>-30592.33169641858</v>
      </c>
      <c r="L242" s="59">
        <f t="shared" ca="1" si="7"/>
        <v>182880.61708025608</v>
      </c>
    </row>
    <row r="243" spans="7:12">
      <c r="G243" s="58">
        <f>Simulation!E243</f>
        <v>240</v>
      </c>
      <c r="H243" s="19">
        <f ca="1">Simulation!H243</f>
        <v>119.03679373496337</v>
      </c>
      <c r="I243" s="19">
        <f>Inputs!$D$13</f>
        <v>100</v>
      </c>
      <c r="J243" s="19">
        <f ca="1">(Simulation!H243-Inputs!$D$13)/Inputs!$D$13*Inputs!$D$12</f>
        <v>190367.93734963366</v>
      </c>
      <c r="K243" s="19">
        <f t="shared" ca="1" si="6"/>
        <v>7487.320269377582</v>
      </c>
      <c r="L243" s="59">
        <f t="shared" ca="1" si="7"/>
        <v>190367.93734963366</v>
      </c>
    </row>
    <row r="244" spans="7:12">
      <c r="G244" s="58">
        <f>Simulation!E244</f>
        <v>241</v>
      </c>
      <c r="H244" s="19">
        <f ca="1">Simulation!H244</f>
        <v>120.19267458223069</v>
      </c>
      <c r="I244" s="19">
        <f>Inputs!$D$13</f>
        <v>100</v>
      </c>
      <c r="J244" s="19">
        <f ca="1">(Simulation!H244-Inputs!$D$13)/Inputs!$D$13*Inputs!$D$12</f>
        <v>201926.74582230693</v>
      </c>
      <c r="K244" s="19">
        <f t="shared" ca="1" si="6"/>
        <v>11558.808472673263</v>
      </c>
      <c r="L244" s="59">
        <f t="shared" ca="1" si="7"/>
        <v>201926.74582230693</v>
      </c>
    </row>
    <row r="245" spans="7:12">
      <c r="G245" s="58">
        <f>Simulation!E245</f>
        <v>242</v>
      </c>
      <c r="H245" s="19">
        <f ca="1">Simulation!H245</f>
        <v>118.57523980145359</v>
      </c>
      <c r="I245" s="19">
        <f>Inputs!$D$13</f>
        <v>100</v>
      </c>
      <c r="J245" s="19">
        <f ca="1">(Simulation!H245-Inputs!$D$13)/Inputs!$D$13*Inputs!$D$12</f>
        <v>185752.39801453592</v>
      </c>
      <c r="K245" s="19">
        <f t="shared" ca="1" si="6"/>
        <v>-16174.347807771002</v>
      </c>
      <c r="L245" s="59">
        <f t="shared" ca="1" si="7"/>
        <v>185752.39801453592</v>
      </c>
    </row>
    <row r="246" spans="7:12">
      <c r="G246" s="58">
        <f>Simulation!E246</f>
        <v>243</v>
      </c>
      <c r="H246" s="19">
        <f ca="1">Simulation!H246</f>
        <v>120.00800324503197</v>
      </c>
      <c r="I246" s="19">
        <f>Inputs!$D$13</f>
        <v>100</v>
      </c>
      <c r="J246" s="19">
        <f ca="1">(Simulation!H246-Inputs!$D$13)/Inputs!$D$13*Inputs!$D$12</f>
        <v>200080.0324503197</v>
      </c>
      <c r="K246" s="19">
        <f t="shared" ca="1" si="6"/>
        <v>14327.634435783781</v>
      </c>
      <c r="L246" s="59">
        <f t="shared" ca="1" si="7"/>
        <v>200080.0324503197</v>
      </c>
    </row>
    <row r="247" spans="7:12">
      <c r="G247" s="58">
        <f>Simulation!E247</f>
        <v>244</v>
      </c>
      <c r="H247" s="19">
        <f ca="1">Simulation!H247</f>
        <v>120.68295404943248</v>
      </c>
      <c r="I247" s="19">
        <f>Inputs!$D$13</f>
        <v>100</v>
      </c>
      <c r="J247" s="19">
        <f ca="1">(Simulation!H247-Inputs!$D$13)/Inputs!$D$13*Inputs!$D$12</f>
        <v>206829.54049432481</v>
      </c>
      <c r="K247" s="19">
        <f t="shared" ca="1" si="6"/>
        <v>6749.5080440051097</v>
      </c>
      <c r="L247" s="59">
        <f t="shared" ca="1" si="7"/>
        <v>206829.54049432481</v>
      </c>
    </row>
    <row r="248" spans="7:12">
      <c r="G248" s="58">
        <f>Simulation!E248</f>
        <v>245</v>
      </c>
      <c r="H248" s="19">
        <f ca="1">Simulation!H248</f>
        <v>122.10640397126787</v>
      </c>
      <c r="I248" s="19">
        <f>Inputs!$D$13</f>
        <v>100</v>
      </c>
      <c r="J248" s="19">
        <f ca="1">(Simulation!H248-Inputs!$D$13)/Inputs!$D$13*Inputs!$D$12</f>
        <v>221064.03971267867</v>
      </c>
      <c r="K248" s="19">
        <f t="shared" ca="1" si="6"/>
        <v>14234.499218353856</v>
      </c>
      <c r="L248" s="59">
        <f t="shared" ca="1" si="7"/>
        <v>221064.03971267867</v>
      </c>
    </row>
    <row r="249" spans="7:12">
      <c r="G249" s="58">
        <f>Simulation!E249</f>
        <v>246</v>
      </c>
      <c r="H249" s="19">
        <f ca="1">Simulation!H249</f>
        <v>123.43214051685999</v>
      </c>
      <c r="I249" s="19">
        <f>Inputs!$D$13</f>
        <v>100</v>
      </c>
      <c r="J249" s="19">
        <f ca="1">(Simulation!H249-Inputs!$D$13)/Inputs!$D$13*Inputs!$D$12</f>
        <v>234321.40516859989</v>
      </c>
      <c r="K249" s="19">
        <f t="shared" ca="1" si="6"/>
        <v>13257.365455921215</v>
      </c>
      <c r="L249" s="59">
        <f t="shared" ca="1" si="7"/>
        <v>234321.40516859989</v>
      </c>
    </row>
    <row r="250" spans="7:12">
      <c r="G250" s="58">
        <f>Simulation!E250</f>
        <v>247</v>
      </c>
      <c r="H250" s="19">
        <f ca="1">Simulation!H250</f>
        <v>124.18315955728373</v>
      </c>
      <c r="I250" s="19">
        <f>Inputs!$D$13</f>
        <v>100</v>
      </c>
      <c r="J250" s="19">
        <f ca="1">(Simulation!H250-Inputs!$D$13)/Inputs!$D$13*Inputs!$D$12</f>
        <v>241831.59557283728</v>
      </c>
      <c r="K250" s="19">
        <f t="shared" ca="1" si="6"/>
        <v>7510.1904042373935</v>
      </c>
      <c r="L250" s="59">
        <f t="shared" ca="1" si="7"/>
        <v>241831.59557283728</v>
      </c>
    </row>
    <row r="251" spans="7:12">
      <c r="G251" s="58">
        <f>Simulation!E251</f>
        <v>248</v>
      </c>
      <c r="H251" s="19">
        <f ca="1">Simulation!H251</f>
        <v>125.83987684128174</v>
      </c>
      <c r="I251" s="19">
        <f>Inputs!$D$13</f>
        <v>100</v>
      </c>
      <c r="J251" s="19">
        <f ca="1">(Simulation!H251-Inputs!$D$13)/Inputs!$D$13*Inputs!$D$12</f>
        <v>258398.76841281733</v>
      </c>
      <c r="K251" s="19">
        <f t="shared" ca="1" si="6"/>
        <v>16567.172839980049</v>
      </c>
      <c r="L251" s="59">
        <f t="shared" ca="1" si="7"/>
        <v>258398.76841281733</v>
      </c>
    </row>
    <row r="252" spans="7:12">
      <c r="G252" s="58">
        <f>Simulation!E252</f>
        <v>249</v>
      </c>
      <c r="H252" s="19">
        <f ca="1">Simulation!H252</f>
        <v>124.94320802017511</v>
      </c>
      <c r="I252" s="19">
        <f>Inputs!$D$13</f>
        <v>100</v>
      </c>
      <c r="J252" s="19">
        <f ca="1">(Simulation!H252-Inputs!$D$13)/Inputs!$D$13*Inputs!$D$12</f>
        <v>249432.08020175106</v>
      </c>
      <c r="K252" s="19">
        <f t="shared" ca="1" si="6"/>
        <v>-8966.68821106627</v>
      </c>
      <c r="L252" s="59">
        <f t="shared" ca="1" si="7"/>
        <v>249432.08020175106</v>
      </c>
    </row>
    <row r="253" spans="7:12">
      <c r="G253" s="58">
        <f>Simulation!E253</f>
        <v>250</v>
      </c>
      <c r="H253" s="19">
        <f ca="1">Simulation!H253</f>
        <v>123.33379052735063</v>
      </c>
      <c r="I253" s="19">
        <f>Inputs!$D$13</f>
        <v>100</v>
      </c>
      <c r="J253" s="19">
        <f ca="1">(Simulation!H253-Inputs!$D$13)/Inputs!$D$13*Inputs!$D$12</f>
        <v>233337.90527350627</v>
      </c>
      <c r="K253" s="19">
        <f t="shared" ca="1" si="6"/>
        <v>-16094.174928244785</v>
      </c>
      <c r="L253" s="59">
        <f t="shared" ca="1" si="7"/>
        <v>233337.90527350627</v>
      </c>
    </row>
    <row r="254" spans="7:12">
      <c r="G254" s="58">
        <f>Simulation!E254</f>
        <v>251</v>
      </c>
      <c r="H254" s="19">
        <f ca="1">Simulation!H254</f>
        <v>126.05278708480057</v>
      </c>
      <c r="I254" s="19">
        <f>Inputs!$D$13</f>
        <v>100</v>
      </c>
      <c r="J254" s="19">
        <f ca="1">(Simulation!H254-Inputs!$D$13)/Inputs!$D$13*Inputs!$D$12</f>
        <v>260527.87084800572</v>
      </c>
      <c r="K254" s="19">
        <f t="shared" ca="1" si="6"/>
        <v>27189.965574499452</v>
      </c>
      <c r="L254" s="59">
        <f t="shared" ca="1" si="7"/>
        <v>260527.87084800572</v>
      </c>
    </row>
    <row r="255" spans="7:12">
      <c r="G255" s="18">
        <f>Simulation!E255</f>
        <v>252</v>
      </c>
      <c r="H255" s="60">
        <f ca="1">Simulation!H255</f>
        <v>125.93694473933691</v>
      </c>
      <c r="I255" s="60">
        <f>Inputs!$D$13</f>
        <v>100</v>
      </c>
      <c r="J255" s="60">
        <f ca="1">(Simulation!H255-Inputs!$D$13)/Inputs!$D$13*Inputs!$D$12</f>
        <v>259369.4473933691</v>
      </c>
      <c r="K255" s="60">
        <f t="shared" ca="1" si="6"/>
        <v>-1158.4234546366206</v>
      </c>
      <c r="L255" s="17">
        <f t="shared" ca="1" si="7"/>
        <v>259369.4473933691</v>
      </c>
    </row>
  </sheetData>
  <mergeCells count="1">
    <mergeCell ref="C3:D3"/>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E9463-A0DB-4662-A578-C62EBFC26D22}">
  <dimension ref="B2:G21"/>
  <sheetViews>
    <sheetView showGridLines="0" zoomScale="85" zoomScaleNormal="85" workbookViewId="0">
      <selection activeCell="F36" sqref="F36"/>
    </sheetView>
  </sheetViews>
  <sheetFormatPr defaultColWidth="14.28515625" defaultRowHeight="15"/>
  <cols>
    <col min="1" max="1" width="19.42578125" customWidth="1"/>
    <col min="2" max="2" width="30.7109375" customWidth="1"/>
    <col min="3" max="3" width="31.5703125" customWidth="1"/>
    <col min="4" max="5" width="49.85546875" bestFit="1" customWidth="1"/>
    <col min="6" max="6" width="12.28515625" bestFit="1" customWidth="1"/>
    <col min="7" max="7" width="49.85546875" bestFit="1" customWidth="1"/>
  </cols>
  <sheetData>
    <row r="2" spans="2:7">
      <c r="B2" s="69" t="s">
        <v>54</v>
      </c>
    </row>
    <row r="16" spans="2:7">
      <c r="E16" s="62" t="s">
        <v>3</v>
      </c>
      <c r="F16" s="63" t="s">
        <v>4</v>
      </c>
      <c r="G16" s="64" t="s">
        <v>55</v>
      </c>
    </row>
    <row r="17" spans="5:7">
      <c r="E17" s="65" t="s">
        <v>66</v>
      </c>
      <c r="F17" s="24">
        <f>+Inputs!$D$15</f>
        <v>0.99</v>
      </c>
      <c r="G17" s="66" t="s">
        <v>57</v>
      </c>
    </row>
    <row r="18" spans="5:7">
      <c r="E18" s="65" t="s">
        <v>58</v>
      </c>
      <c r="F18" s="21">
        <f>_xlfn.NORM.S.INV(F17)</f>
        <v>2.3263478740408408</v>
      </c>
      <c r="G18" s="66" t="s">
        <v>59</v>
      </c>
    </row>
    <row r="19" spans="5:7">
      <c r="E19" s="65" t="s">
        <v>67</v>
      </c>
      <c r="F19" s="21">
        <f>Inputs!$D$16</f>
        <v>10</v>
      </c>
      <c r="G19" s="66" t="s">
        <v>61</v>
      </c>
    </row>
    <row r="20" spans="5:7">
      <c r="E20" s="65" t="s">
        <v>62</v>
      </c>
      <c r="F20" s="61">
        <f ca="1">+_xlfn.STDEV.S('MTM and VM'!K4:K255)</f>
        <v>15534.859025962825</v>
      </c>
      <c r="G20" s="66" t="s">
        <v>63</v>
      </c>
    </row>
    <row r="21" spans="5:7">
      <c r="E21" s="67" t="s">
        <v>64</v>
      </c>
      <c r="F21" s="21">
        <f ca="1">F18*F20*SQRT(F19)</f>
        <v>114283.09007706963</v>
      </c>
      <c r="G21" s="68" t="s">
        <v>65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A5C51-C1D8-447A-BE58-147849C3196D}">
  <dimension ref="B2:O19"/>
  <sheetViews>
    <sheetView showGridLines="0" zoomScale="85" zoomScaleNormal="85" workbookViewId="0">
      <selection activeCell="N28" sqref="N28"/>
    </sheetView>
  </sheetViews>
  <sheetFormatPr defaultRowHeight="15"/>
  <cols>
    <col min="1" max="1" width="23.7109375" bestFit="1" customWidth="1"/>
    <col min="2" max="2" width="13.140625" bestFit="1" customWidth="1"/>
    <col min="3" max="3" width="30.7109375" customWidth="1"/>
    <col min="12" max="13" width="16.7109375" bestFit="1" customWidth="1"/>
    <col min="14" max="15" width="35.85546875" bestFit="1" customWidth="1"/>
  </cols>
  <sheetData>
    <row r="2" spans="2:15">
      <c r="B2" s="30" t="s">
        <v>68</v>
      </c>
      <c r="C2" s="30"/>
    </row>
    <row r="11" spans="2:15">
      <c r="M11" s="3" t="s">
        <v>3</v>
      </c>
      <c r="N11" s="3" t="s">
        <v>4</v>
      </c>
      <c r="O11" s="3" t="s">
        <v>55</v>
      </c>
    </row>
    <row r="12" spans="2:15">
      <c r="M12" s="21" t="s">
        <v>69</v>
      </c>
      <c r="N12" s="20">
        <f>Inputs!$D$18</f>
        <v>180</v>
      </c>
      <c r="O12" s="21" t="s">
        <v>70</v>
      </c>
    </row>
    <row r="13" spans="2:15" ht="44.25" customHeight="1">
      <c r="M13" s="21" t="s">
        <v>60</v>
      </c>
      <c r="N13" s="20">
        <f>Inputs!$D$16</f>
        <v>10</v>
      </c>
      <c r="O13" s="21" t="s">
        <v>61</v>
      </c>
    </row>
    <row r="14" spans="2:15">
      <c r="M14" s="21" t="s">
        <v>71</v>
      </c>
      <c r="N14" s="20">
        <f>N12+N13</f>
        <v>190</v>
      </c>
      <c r="O14" s="21" t="s">
        <v>72</v>
      </c>
    </row>
    <row r="15" spans="2:15">
      <c r="M15" s="21" t="s">
        <v>73</v>
      </c>
      <c r="N15" s="71">
        <f ca="1">_xlfn.XLOOKUP(N12,'MTM and VM'!$G:$G,'MTM and VM'!$J:$J)</f>
        <v>61613.579467595941</v>
      </c>
      <c r="O15" s="21" t="s">
        <v>74</v>
      </c>
    </row>
    <row r="16" spans="2:15">
      <c r="M16" s="21" t="s">
        <v>75</v>
      </c>
      <c r="N16" s="71">
        <f ca="1">_xlfn.XLOOKUP(N14,'MTM and VM'!$G:$G,'MTM and VM'!$J:$J)</f>
        <v>32120.366201976649</v>
      </c>
      <c r="O16" s="21" t="s">
        <v>76</v>
      </c>
    </row>
    <row r="17" spans="13:15">
      <c r="M17" s="21" t="s">
        <v>77</v>
      </c>
      <c r="N17" s="72">
        <f ca="1">+MAX(N16-N15,0)</f>
        <v>0</v>
      </c>
      <c r="O17" s="21" t="s">
        <v>78</v>
      </c>
    </row>
    <row r="18" spans="13:15">
      <c r="M18" s="21" t="s">
        <v>64</v>
      </c>
      <c r="N18" s="71">
        <f ca="1">'Initial Margin'!$F$21</f>
        <v>114283.09007706963</v>
      </c>
      <c r="O18" s="21" t="s">
        <v>79</v>
      </c>
    </row>
    <row r="19" spans="13:15">
      <c r="M19" s="21" t="s">
        <v>80</v>
      </c>
      <c r="N19" s="71">
        <f ca="1">MAX(N17-N18,0)</f>
        <v>0</v>
      </c>
      <c r="O19" s="21" t="s">
        <v>81</v>
      </c>
    </row>
  </sheetData>
  <mergeCells count="1">
    <mergeCell ref="B2:C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128C-96AD-4238-85C4-01C688F993A1}">
  <dimension ref="B2:O27"/>
  <sheetViews>
    <sheetView showGridLines="0" zoomScale="85" zoomScaleNormal="85" workbookViewId="0">
      <selection activeCell="S14" sqref="S14"/>
    </sheetView>
  </sheetViews>
  <sheetFormatPr defaultRowHeight="15"/>
  <cols>
    <col min="1" max="2" width="19" customWidth="1"/>
    <col min="3" max="4" width="20.7109375" customWidth="1"/>
    <col min="5" max="5" width="14.7109375" customWidth="1"/>
    <col min="6" max="6" width="19" customWidth="1"/>
    <col min="7" max="7" width="17.42578125" customWidth="1"/>
    <col min="11" max="11" width="14.85546875" bestFit="1" customWidth="1"/>
    <col min="12" max="12" width="15.7109375" bestFit="1" customWidth="1"/>
    <col min="13" max="13" width="17.140625" bestFit="1" customWidth="1"/>
    <col min="14" max="14" width="18.140625" bestFit="1" customWidth="1"/>
    <col min="15" max="15" width="14.85546875" bestFit="1" customWidth="1"/>
  </cols>
  <sheetData>
    <row r="2" spans="4:15">
      <c r="D2" s="30" t="s">
        <v>87</v>
      </c>
      <c r="E2" s="30"/>
      <c r="M2" s="70" t="s">
        <v>82</v>
      </c>
    </row>
    <row r="9" spans="4:15" ht="30">
      <c r="K9" s="3" t="s">
        <v>60</v>
      </c>
      <c r="L9" s="3" t="s">
        <v>56</v>
      </c>
      <c r="M9" s="3" t="s">
        <v>58</v>
      </c>
      <c r="N9" s="3" t="s">
        <v>62</v>
      </c>
      <c r="O9" s="3" t="s">
        <v>64</v>
      </c>
    </row>
    <row r="10" spans="4:15" ht="24" customHeight="1">
      <c r="K10" s="2">
        <v>5</v>
      </c>
      <c r="L10" s="6">
        <v>0.99</v>
      </c>
      <c r="M10">
        <f t="shared" ref="M10:M13" si="0">_xlfn.NORM.S.INV(L10)</f>
        <v>2.3263478740408408</v>
      </c>
      <c r="N10">
        <f ca="1">'Initial Margin'!$F$20</f>
        <v>15534.859025962825</v>
      </c>
      <c r="O10">
        <f t="shared" ref="O10:O13" ca="1" si="1">M10*N10*SQRT(K10)</f>
        <v>80810.347968448972</v>
      </c>
    </row>
    <row r="11" spans="4:15" ht="27" customHeight="1">
      <c r="K11" s="2">
        <v>10</v>
      </c>
      <c r="L11" s="6">
        <v>0.99</v>
      </c>
      <c r="M11">
        <f t="shared" si="0"/>
        <v>2.3263478740408408</v>
      </c>
      <c r="N11">
        <f ca="1">'Initial Margin'!$F$20</f>
        <v>15534.859025962825</v>
      </c>
      <c r="O11">
        <f t="shared" ca="1" si="1"/>
        <v>114283.09007706963</v>
      </c>
    </row>
    <row r="12" spans="4:15" ht="29.25" customHeight="1">
      <c r="K12" s="2">
        <v>20</v>
      </c>
      <c r="L12" s="6">
        <v>0.99</v>
      </c>
      <c r="M12">
        <f t="shared" si="0"/>
        <v>2.3263478740408408</v>
      </c>
      <c r="N12">
        <f ca="1">'Initial Margin'!$F$20</f>
        <v>15534.859025962825</v>
      </c>
      <c r="O12">
        <f t="shared" ca="1" si="1"/>
        <v>161620.69593689794</v>
      </c>
    </row>
    <row r="13" spans="4:15" ht="26.25" customHeight="1">
      <c r="K13" s="2">
        <v>30</v>
      </c>
      <c r="L13" s="6">
        <v>0.99</v>
      </c>
      <c r="M13">
        <f t="shared" si="0"/>
        <v>2.3263478740408408</v>
      </c>
      <c r="N13">
        <f ca="1">'Initial Margin'!$F$20</f>
        <v>15534.859025962825</v>
      </c>
      <c r="O13">
        <f t="shared" ca="1" si="1"/>
        <v>197944.1184594552</v>
      </c>
    </row>
    <row r="24" spans="2:8" ht="30">
      <c r="B24" s="3" t="s">
        <v>56</v>
      </c>
      <c r="C24" s="3" t="s">
        <v>58</v>
      </c>
      <c r="D24" s="3" t="s">
        <v>62</v>
      </c>
      <c r="E24" s="3" t="s">
        <v>60</v>
      </c>
      <c r="F24" s="3" t="s">
        <v>64</v>
      </c>
      <c r="G24" s="3" t="s">
        <v>77</v>
      </c>
      <c r="H24" s="3" t="s">
        <v>80</v>
      </c>
    </row>
    <row r="25" spans="2:8">
      <c r="B25" s="5">
        <v>0.9</v>
      </c>
      <c r="C25" s="22">
        <f>_xlfn.NORM.S.INV(B25)</f>
        <v>1.2815515655446006</v>
      </c>
      <c r="D25">
        <f ca="1">'Initial Margin'!$F$20</f>
        <v>15534.859025962825</v>
      </c>
      <c r="E25" s="4">
        <v>10</v>
      </c>
      <c r="F25">
        <f ca="1">C25*D25*SQRT(E25)</f>
        <v>62956.909685714527</v>
      </c>
      <c r="G25">
        <f ca="1">'Default Scenario'!$N$17</f>
        <v>0</v>
      </c>
      <c r="H25">
        <f ca="1">MAX(G25-F25,0)</f>
        <v>0</v>
      </c>
    </row>
    <row r="26" spans="2:8">
      <c r="B26" s="5">
        <v>0.95</v>
      </c>
      <c r="C26" s="23">
        <f>_xlfn.NORM.S.INV(B26)</f>
        <v>1.6448536269514715</v>
      </c>
      <c r="D26" s="4">
        <f ca="1">'Initial Margin'!$F$20</f>
        <v>15534.859025962825</v>
      </c>
      <c r="E26" s="4">
        <v>10</v>
      </c>
      <c r="F26" s="4">
        <f ca="1">C26*D26*SQRT(E26)</f>
        <v>80804.318782286122</v>
      </c>
      <c r="G26" s="4">
        <f ca="1">'Default Scenario'!$N$17</f>
        <v>0</v>
      </c>
      <c r="H26" s="4">
        <f ca="1">MAX(G26-F26,0)</f>
        <v>0</v>
      </c>
    </row>
    <row r="27" spans="2:8">
      <c r="B27" s="5">
        <v>0.99</v>
      </c>
      <c r="C27" s="23">
        <f>_xlfn.NORM.S.INV(B27)</f>
        <v>2.3263478740408408</v>
      </c>
      <c r="D27" s="4">
        <f ca="1">'Initial Margin'!$F$20</f>
        <v>15534.859025962825</v>
      </c>
      <c r="E27" s="4">
        <v>10</v>
      </c>
      <c r="F27" s="4">
        <f ca="1">C27*D27*SQRT(E27)</f>
        <v>114283.09007706963</v>
      </c>
      <c r="G27" s="4">
        <f ca="1">'Default Scenario'!$N$17</f>
        <v>0</v>
      </c>
      <c r="H27" s="4">
        <f ca="1">MAX(G27-F27,0)</f>
        <v>0</v>
      </c>
    </row>
  </sheetData>
  <mergeCells count="1">
    <mergeCell ref="D2:E2"/>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E26E-A1A4-4738-A736-136E7EF6A1CC}">
  <dimension ref="F2:S13"/>
  <sheetViews>
    <sheetView showGridLines="0" tabSelected="1" zoomScale="70" zoomScaleNormal="70" workbookViewId="0">
      <selection activeCell="X11" sqref="X11"/>
    </sheetView>
  </sheetViews>
  <sheetFormatPr defaultRowHeight="15"/>
  <cols>
    <col min="1" max="12" width="9.140625" style="26"/>
    <col min="13" max="13" width="13.140625" style="26" bestFit="1" customWidth="1"/>
    <col min="14" max="14" width="9.140625" style="26"/>
    <col min="15" max="15" width="12.28515625" style="26" bestFit="1" customWidth="1"/>
    <col min="16" max="16384" width="9.140625" style="26"/>
  </cols>
  <sheetData>
    <row r="2" spans="6:19" ht="23.25">
      <c r="K2" s="27" t="s">
        <v>83</v>
      </c>
      <c r="L2" s="27"/>
      <c r="M2" s="27"/>
      <c r="N2" s="27"/>
      <c r="O2" s="27"/>
      <c r="P2" s="27"/>
      <c r="Q2" s="27"/>
      <c r="R2" s="27"/>
    </row>
    <row r="4" spans="6:19" ht="15.75">
      <c r="I4" s="28" t="s">
        <v>84</v>
      </c>
      <c r="J4" s="28"/>
      <c r="K4" s="28"/>
      <c r="L4" s="28"/>
      <c r="M4" s="28"/>
      <c r="N4" s="28"/>
      <c r="O4" s="28"/>
      <c r="P4" s="28"/>
      <c r="Q4" s="28"/>
      <c r="R4" s="28"/>
      <c r="S4" s="28"/>
    </row>
    <row r="6" spans="6:19" ht="15.75" thickBot="1"/>
    <row r="7" spans="6:19" ht="30">
      <c r="F7" s="34" t="s">
        <v>85</v>
      </c>
      <c r="G7" s="35"/>
      <c r="H7" s="42" t="s">
        <v>4</v>
      </c>
      <c r="I7" s="43"/>
      <c r="P7" s="44" t="s">
        <v>86</v>
      </c>
      <c r="Q7" s="42"/>
      <c r="R7" s="35" t="s">
        <v>4</v>
      </c>
      <c r="S7" s="39"/>
    </row>
    <row r="8" spans="6:19" ht="15" customHeight="1">
      <c r="F8" s="36" t="s">
        <v>22</v>
      </c>
      <c r="G8" s="31"/>
      <c r="H8" s="40">
        <f>Inputs!$D$12</f>
        <v>1000000</v>
      </c>
      <c r="I8" s="41"/>
      <c r="P8" s="45" t="s">
        <v>64</v>
      </c>
      <c r="Q8" s="46"/>
      <c r="R8" s="32">
        <f ca="1">'Initial Margin'!$F$21</f>
        <v>114283.09007706963</v>
      </c>
      <c r="S8" s="37"/>
    </row>
    <row r="9" spans="6:19" ht="15" customHeight="1">
      <c r="F9" s="36" t="s">
        <v>50</v>
      </c>
      <c r="G9" s="31"/>
      <c r="H9" s="40">
        <f>Inputs!$D$13</f>
        <v>100</v>
      </c>
      <c r="I9" s="41"/>
      <c r="P9" s="45" t="s">
        <v>77</v>
      </c>
      <c r="Q9" s="46"/>
      <c r="R9" s="32">
        <f ca="1">'Default Scenario'!$N$17</f>
        <v>0</v>
      </c>
      <c r="S9" s="37"/>
    </row>
    <row r="10" spans="6:19" ht="15" customHeight="1">
      <c r="F10" s="36" t="s">
        <v>56</v>
      </c>
      <c r="G10" s="31"/>
      <c r="H10" s="49">
        <f>Inputs!$D$15</f>
        <v>0.99</v>
      </c>
      <c r="I10" s="50"/>
      <c r="P10" s="45" t="s">
        <v>80</v>
      </c>
      <c r="Q10" s="46"/>
      <c r="R10" s="32">
        <f ca="1">'Default Scenario'!$N$17</f>
        <v>0</v>
      </c>
      <c r="S10" s="37"/>
    </row>
    <row r="11" spans="6:19" ht="15" customHeight="1">
      <c r="F11" s="36" t="s">
        <v>60</v>
      </c>
      <c r="G11" s="31"/>
      <c r="H11" s="47">
        <f>Inputs!$D$16</f>
        <v>10</v>
      </c>
      <c r="I11" s="48"/>
      <c r="P11" s="45" t="s">
        <v>73</v>
      </c>
      <c r="Q11" s="46"/>
      <c r="R11" s="33">
        <f ca="1">'Default Scenario'!$N$15</f>
        <v>61613.579467595941</v>
      </c>
      <c r="S11" s="38"/>
    </row>
    <row r="12" spans="6:19" ht="15" customHeight="1" thickBot="1">
      <c r="F12" s="51" t="s">
        <v>69</v>
      </c>
      <c r="G12" s="52"/>
      <c r="H12" s="53">
        <f>Inputs!$D$18</f>
        <v>180</v>
      </c>
      <c r="I12" s="54"/>
      <c r="P12" s="51" t="s">
        <v>75</v>
      </c>
      <c r="Q12" s="52"/>
      <c r="R12" s="55">
        <f ca="1">'Default Scenario'!$N$16</f>
        <v>32120.366201976649</v>
      </c>
      <c r="S12" s="56"/>
    </row>
    <row r="13" spans="6:19" ht="15.75" customHeight="1"/>
  </sheetData>
  <mergeCells count="18">
    <mergeCell ref="R7:S7"/>
    <mergeCell ref="F7:G7"/>
    <mergeCell ref="H8:I8"/>
    <mergeCell ref="H9:I9"/>
    <mergeCell ref="K2:R2"/>
    <mergeCell ref="I4:S4"/>
    <mergeCell ref="F10:G10"/>
    <mergeCell ref="F9:G9"/>
    <mergeCell ref="F8:G8"/>
    <mergeCell ref="H12:I12"/>
    <mergeCell ref="F12:G12"/>
    <mergeCell ref="F11:G11"/>
    <mergeCell ref="R12:S12"/>
    <mergeCell ref="R8:S8"/>
    <mergeCell ref="R9:S9"/>
    <mergeCell ref="R10:S10"/>
    <mergeCell ref="R11:S11"/>
    <mergeCell ref="P12:Q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 </vt:lpstr>
      <vt:lpstr>Inputs</vt:lpstr>
      <vt:lpstr>Simulation</vt:lpstr>
      <vt:lpstr>MTM and VM</vt:lpstr>
      <vt:lpstr>Initial Margin</vt:lpstr>
      <vt:lpstr>Default Scenario</vt:lpstr>
      <vt:lpstr>Sensitivity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De La Rosa</dc:creator>
  <cp:lastModifiedBy>Guillermo De La Rosa</cp:lastModifiedBy>
  <dcterms:created xsi:type="dcterms:W3CDTF">2026-05-02T17:29:20Z</dcterms:created>
  <dcterms:modified xsi:type="dcterms:W3CDTF">2026-05-02T22:36:19Z</dcterms:modified>
</cp:coreProperties>
</file>